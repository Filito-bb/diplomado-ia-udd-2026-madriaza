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a Gantt" sheetId="1" state="visible" r:id="rId3"/>
    <sheet name="Estructura de Cos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<sst xmlns="http://schemas.openxmlformats.org/spreadsheetml/2006/main" count="96" uniqueCount="58">
  <si>
    <t xml:space="preserve">Sobremesa — Carta Gantt del proyecto (3 semanas / 15 días hábiles)</t>
  </si>
  <si>
    <t xml:space="preserve">ID</t>
  </si>
  <si>
    <t xml:space="preserve">Fase</t>
  </si>
  <si>
    <t xml:space="preserve">Tarea</t>
  </si>
  <si>
    <t xml:space="preserve">Responsable(s)</t>
  </si>
  <si>
    <t xml:space="preserve">Día inicio</t>
  </si>
  <si>
    <t xml:space="preserve">Duración (días)</t>
  </si>
  <si>
    <t xml:space="preserve">Día fin</t>
  </si>
  <si>
    <t xml:space="preserve">Horas estimadas</t>
  </si>
  <si>
    <t xml:space="preserve">Descubrimiento</t>
  </si>
  <si>
    <t xml:space="preserve">Investigación y síntesis (dataset, benchmark, entrevistas)</t>
  </si>
  <si>
    <t xml:space="preserve">Equipo completo (D1+D2+D3)</t>
  </si>
  <si>
    <t xml:space="preserve">Definición de los 3 pilares y principios de diseño</t>
  </si>
  <si>
    <t xml:space="preserve">Arquitectura de información y flujos de usuario</t>
  </si>
  <si>
    <t xml:space="preserve">D1 (UX) + D3 (Contenido)</t>
  </si>
  <si>
    <t xml:space="preserve">Exploración visual preliminar (moodboard y paleta)</t>
  </si>
  <si>
    <t xml:space="preserve">D2 (Visual)</t>
  </si>
  <si>
    <t xml:space="preserve">Sistema Visual</t>
  </si>
  <si>
    <t xml:space="preserve">Sistema visual definitivo (paleta, tipografía, componentes)</t>
  </si>
  <si>
    <t xml:space="preserve">D2 (Visual) + D3 (Contenido)</t>
  </si>
  <si>
    <t xml:space="preserve">Prototipado</t>
  </si>
  <si>
    <t xml:space="preserve">Wireframes de pantallas clave</t>
  </si>
  <si>
    <t xml:space="preserve">Prototipo interactivo de alta fidelidad v1</t>
  </si>
  <si>
    <t xml:space="preserve">D2 (Visual) + D1 (UX)</t>
  </si>
  <si>
    <t xml:space="preserve">Validación</t>
  </si>
  <si>
    <t xml:space="preserve">Testing con usuarios en mesas piloto reales</t>
  </si>
  <si>
    <t xml:space="preserve">Iteración final de interfaz según hallazgos</t>
  </si>
  <si>
    <t xml:space="preserve">Cierre</t>
  </si>
  <si>
    <t xml:space="preserve">Documentación y especificaciones para desarrollo</t>
  </si>
  <si>
    <t xml:space="preserve">D3 (Contenido)</t>
  </si>
  <si>
    <t xml:space="preserve">Presentación y entrega final</t>
  </si>
  <si>
    <t xml:space="preserve">TOTAL</t>
  </si>
  <si>
    <t xml:space="preserve">Sobremesa — Estructura de costos (equipo de 3 diseñadoras gráficas, 3 semanas)</t>
  </si>
  <si>
    <t xml:space="preserve">Supuestos base</t>
  </si>
  <si>
    <t xml:space="preserve">Tarifa profesional por hora (CLP)</t>
  </si>
  <si>
    <t xml:space="preserve">Punto medio del rango de mercado para diseño gráfico profesional en Chile ($20.000–$60.000 CLP/hora). Fuente: Cronoshare Chile, 2026.</t>
  </si>
  <si>
    <t xml:space="preserve">Jornada estándar (horas/día)</t>
  </si>
  <si>
    <t xml:space="preserve">Supuesto de jornada completa por diseñadora.</t>
  </si>
  <si>
    <t xml:space="preserve">Semanas del proyecto</t>
  </si>
  <si>
    <t xml:space="preserve">Definido por el alcance del proyecto.</t>
  </si>
  <si>
    <t xml:space="preserve">Capacidad máxima del equipo (horas-persona)</t>
  </si>
  <si>
    <t xml:space="preserve">3 diseñadoras × 8 h/día × 5 días × 3 semanas.</t>
  </si>
  <si>
    <t xml:space="preserve">Tipo de cambio USD/CLP referencial</t>
  </si>
  <si>
    <t xml:space="preserve">Referencial al 20-08-2026, tipo de cambio medio de mercado.</t>
  </si>
  <si>
    <t xml:space="preserve">Costo de horas de diseño por tarea (vinculado a la Carta Gantt)</t>
  </si>
  <si>
    <t xml:space="preserve">Tarifa (CLP/h)</t>
  </si>
  <si>
    <t xml:space="preserve">Costo (CLP)</t>
  </si>
  <si>
    <t xml:space="preserve">Subtotal horas de diseño</t>
  </si>
  <si>
    <t xml:space="preserve">Otros costos del proyecto</t>
  </si>
  <si>
    <t xml:space="preserve">Concepto</t>
  </si>
  <si>
    <t xml:space="preserve">Base de cálculo</t>
  </si>
  <si>
    <t xml:space="preserve">Licencias Figma Professional (3 editoras)</t>
  </si>
  <si>
    <t xml:space="preserve">3 editoras × US$15/mes × 0,75 mes (3 semanas) × tipo de cambio</t>
  </si>
  <si>
    <t xml:space="preserve">Contingencia (imprevistos, iteraciones extra)</t>
  </si>
  <si>
    <t xml:space="preserve">10% del subtotal de horas de diseño</t>
  </si>
  <si>
    <t xml:space="preserve">COSTO TOTAL DEL PROYECTO</t>
  </si>
  <si>
    <t xml:space="preserve">Utilización del equipo</t>
  </si>
  <si>
    <t xml:space="preserve">Horas usadas vs. capacidad máxima disponible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</si>
</sst>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D0"/>
    <numFmt numFmtId="166" formatCode="\$#,##0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F3E4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3E46"/>
        <bgColor rgb="FF354F52"/>
      </patternFill>
    </fill>
    <fill>
      <patternFill patternType="solid">
        <fgColor rgb="FFCAD2C5"/>
        <bgColor rgb="FFCCCCFF"/>
      </patternFill>
    </fill>
    <fill>
      <patternFill patternType="solid">
        <fgColor rgb="FF84A98C"/>
        <bgColor rgb="FFB0B0B0"/>
      </patternFill>
    </fill>
    <fill>
      <patternFill patternType="solid">
        <fgColor rgb="FF52796F"/>
        <bgColor rgb="FF666666"/>
      </patternFill>
    </fill>
    <fill>
      <patternFill patternType="solid">
        <fgColor rgb="FF354F52"/>
        <bgColor rgb="FF2F3E46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medium"/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medium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52796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52796F"/>
      <rgbColor rgb="FFB0B0B0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84A98C"/>
      <rgbColor rgb="FF003366"/>
      <rgbColor rgb="FF339966"/>
      <rgbColor rgb="FF003300"/>
      <rgbColor rgb="FF333300"/>
      <rgbColor rgb="FF993300"/>
      <rgbColor rgb="FF993366"/>
      <rgbColor rgb="FF354F52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5"/>
    <col collapsed="false" customWidth="true" hidden="false" outlineLevel="0" max="3" min="3" style="1" width="42"/>
    <col collapsed="false" customWidth="true" hidden="false" outlineLevel="0" max="4" min="4" style="1" width="26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23" min="9" style="1" width="4.5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25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n">
        <v>1</v>
      </c>
      <c r="J2" s="5" t="n">
        <v>2</v>
      </c>
      <c r="K2" s="5" t="n">
        <v>3</v>
      </c>
      <c r="L2" s="5" t="n">
        <v>4</v>
      </c>
      <c r="M2" s="5" t="n">
        <v>5</v>
      </c>
      <c r="N2" s="4" t="n">
        <v>6</v>
      </c>
      <c r="O2" s="5" t="n">
        <v>7</v>
      </c>
      <c r="P2" s="5" t="n">
        <v>8</v>
      </c>
      <c r="Q2" s="5" t="n">
        <v>9</v>
      </c>
      <c r="R2" s="5" t="n">
        <v>10</v>
      </c>
      <c r="S2" s="4" t="n">
        <v>11</v>
      </c>
      <c r="T2" s="5" t="n">
        <v>12</v>
      </c>
      <c r="U2" s="5" t="n">
        <v>13</v>
      </c>
      <c r="V2" s="5" t="n">
        <v>14</v>
      </c>
      <c r="W2" s="5" t="n">
        <v>15</v>
      </c>
    </row>
    <row r="3" customFormat="false" ht="21.75" hidden="false" customHeight="true" outlineLevel="0" collapsed="false">
      <c r="A3" s="6" t="n">
        <v>1</v>
      </c>
      <c r="B3" s="7" t="s">
        <v>9</v>
      </c>
      <c r="C3" s="8" t="s">
        <v>10</v>
      </c>
      <c r="D3" s="6" t="s">
        <v>11</v>
      </c>
      <c r="E3" s="6" t="n">
        <v>1</v>
      </c>
      <c r="F3" s="6" t="n">
        <v>2</v>
      </c>
      <c r="G3" s="6" t="n">
        <f aca="false">E3+F3-1</f>
        <v>2</v>
      </c>
      <c r="H3" s="6" t="n">
        <f aca="false">F3*8*3</f>
        <v>48</v>
      </c>
      <c r="I3" s="9"/>
      <c r="J3" s="10"/>
      <c r="K3" s="10"/>
      <c r="L3" s="10"/>
      <c r="M3" s="10"/>
      <c r="N3" s="9"/>
      <c r="O3" s="10"/>
      <c r="P3" s="10"/>
      <c r="Q3" s="10"/>
      <c r="R3" s="10"/>
      <c r="S3" s="9"/>
      <c r="T3" s="10"/>
      <c r="U3" s="10"/>
      <c r="V3" s="10"/>
      <c r="W3" s="10"/>
    </row>
    <row r="4" customFormat="false" ht="15" hidden="false" customHeight="true" outlineLevel="0" collapsed="false">
      <c r="A4" s="6" t="n">
        <v>2</v>
      </c>
      <c r="B4" s="7" t="s">
        <v>9</v>
      </c>
      <c r="C4" s="8" t="s">
        <v>12</v>
      </c>
      <c r="D4" s="6" t="s">
        <v>11</v>
      </c>
      <c r="E4" s="6" t="n">
        <v>3</v>
      </c>
      <c r="F4" s="6" t="n">
        <v>1</v>
      </c>
      <c r="G4" s="6" t="n">
        <f aca="false">E4+F4-1</f>
        <v>3</v>
      </c>
      <c r="H4" s="6" t="n">
        <f aca="false">F4*8*3</f>
        <v>24</v>
      </c>
      <c r="I4" s="9"/>
      <c r="J4" s="10"/>
      <c r="K4" s="10"/>
      <c r="L4" s="10"/>
      <c r="M4" s="10"/>
      <c r="N4" s="9"/>
      <c r="O4" s="10"/>
      <c r="P4" s="10"/>
      <c r="Q4" s="10"/>
      <c r="R4" s="10"/>
      <c r="S4" s="9"/>
      <c r="T4" s="10"/>
      <c r="U4" s="10"/>
      <c r="V4" s="10"/>
      <c r="W4" s="10"/>
    </row>
    <row r="5" customFormat="false" ht="15" hidden="false" customHeight="true" outlineLevel="0" collapsed="false">
      <c r="A5" s="6" t="n">
        <v>3</v>
      </c>
      <c r="B5" s="7" t="s">
        <v>9</v>
      </c>
      <c r="C5" s="8" t="s">
        <v>13</v>
      </c>
      <c r="D5" s="6" t="s">
        <v>14</v>
      </c>
      <c r="E5" s="6" t="n">
        <v>4</v>
      </c>
      <c r="F5" s="6" t="n">
        <v>2</v>
      </c>
      <c r="G5" s="6" t="n">
        <f aca="false">E5+F5-1</f>
        <v>5</v>
      </c>
      <c r="H5" s="6" t="n">
        <f aca="false">F5*8*2</f>
        <v>32</v>
      </c>
      <c r="I5" s="9"/>
      <c r="J5" s="10"/>
      <c r="K5" s="10"/>
      <c r="L5" s="10"/>
      <c r="M5" s="10"/>
      <c r="N5" s="9"/>
      <c r="O5" s="10"/>
      <c r="P5" s="10"/>
      <c r="Q5" s="10"/>
      <c r="R5" s="10"/>
      <c r="S5" s="9"/>
      <c r="T5" s="10"/>
      <c r="U5" s="10"/>
      <c r="V5" s="10"/>
      <c r="W5" s="10"/>
    </row>
    <row r="6" customFormat="false" ht="15" hidden="false" customHeight="true" outlineLevel="0" collapsed="false">
      <c r="A6" s="6" t="n">
        <v>4</v>
      </c>
      <c r="B6" s="7" t="s">
        <v>9</v>
      </c>
      <c r="C6" s="8" t="s">
        <v>15</v>
      </c>
      <c r="D6" s="6" t="s">
        <v>16</v>
      </c>
      <c r="E6" s="6" t="n">
        <v>4</v>
      </c>
      <c r="F6" s="6" t="n">
        <v>2</v>
      </c>
      <c r="G6" s="6" t="n">
        <f aca="false">E6+F6-1</f>
        <v>5</v>
      </c>
      <c r="H6" s="6" t="n">
        <f aca="false">F6*8*1</f>
        <v>16</v>
      </c>
      <c r="I6" s="9"/>
      <c r="J6" s="10"/>
      <c r="K6" s="10"/>
      <c r="L6" s="10"/>
      <c r="M6" s="10"/>
      <c r="N6" s="9"/>
      <c r="O6" s="10"/>
      <c r="P6" s="10"/>
      <c r="Q6" s="10"/>
      <c r="R6" s="10"/>
      <c r="S6" s="9"/>
      <c r="T6" s="10"/>
      <c r="U6" s="10"/>
      <c r="V6" s="10"/>
      <c r="W6" s="10"/>
    </row>
    <row r="7" customFormat="false" ht="21.75" hidden="false" customHeight="true" outlineLevel="0" collapsed="false">
      <c r="A7" s="6" t="n">
        <v>5</v>
      </c>
      <c r="B7" s="11" t="s">
        <v>17</v>
      </c>
      <c r="C7" s="8" t="s">
        <v>18</v>
      </c>
      <c r="D7" s="6" t="s">
        <v>19</v>
      </c>
      <c r="E7" s="6" t="n">
        <v>6</v>
      </c>
      <c r="F7" s="6" t="n">
        <v>2</v>
      </c>
      <c r="G7" s="6" t="n">
        <f aca="false">E7+F7-1</f>
        <v>7</v>
      </c>
      <c r="H7" s="6" t="n">
        <f aca="false">F7*8*2</f>
        <v>32</v>
      </c>
      <c r="I7" s="9"/>
      <c r="J7" s="10"/>
      <c r="K7" s="10"/>
      <c r="L7" s="10"/>
      <c r="M7" s="10"/>
      <c r="N7" s="9"/>
      <c r="O7" s="10"/>
      <c r="P7" s="10"/>
      <c r="Q7" s="10"/>
      <c r="R7" s="10"/>
      <c r="S7" s="9"/>
      <c r="T7" s="10"/>
      <c r="U7" s="10"/>
      <c r="V7" s="10"/>
      <c r="W7" s="10"/>
    </row>
    <row r="8" customFormat="false" ht="15" hidden="false" customHeight="true" outlineLevel="0" collapsed="false">
      <c r="A8" s="6" t="n">
        <v>6</v>
      </c>
      <c r="B8" s="12" t="s">
        <v>20</v>
      </c>
      <c r="C8" s="8" t="s">
        <v>21</v>
      </c>
      <c r="D8" s="6" t="s">
        <v>14</v>
      </c>
      <c r="E8" s="6" t="n">
        <v>8</v>
      </c>
      <c r="F8" s="6" t="n">
        <v>2</v>
      </c>
      <c r="G8" s="6" t="n">
        <f aca="false">E8+F8-1</f>
        <v>9</v>
      </c>
      <c r="H8" s="6" t="n">
        <f aca="false">F8*8*2</f>
        <v>32</v>
      </c>
      <c r="I8" s="9"/>
      <c r="J8" s="10"/>
      <c r="K8" s="10"/>
      <c r="L8" s="10"/>
      <c r="M8" s="10"/>
      <c r="N8" s="9"/>
      <c r="O8" s="10"/>
      <c r="P8" s="10"/>
      <c r="Q8" s="10"/>
      <c r="R8" s="10"/>
      <c r="S8" s="9"/>
      <c r="T8" s="10"/>
      <c r="U8" s="10"/>
      <c r="V8" s="10"/>
      <c r="W8" s="10"/>
    </row>
    <row r="9" customFormat="false" ht="15" hidden="false" customHeight="true" outlineLevel="0" collapsed="false">
      <c r="A9" s="6" t="n">
        <v>7</v>
      </c>
      <c r="B9" s="12" t="s">
        <v>20</v>
      </c>
      <c r="C9" s="8" t="s">
        <v>22</v>
      </c>
      <c r="D9" s="6" t="s">
        <v>23</v>
      </c>
      <c r="E9" s="6" t="n">
        <v>10</v>
      </c>
      <c r="F9" s="6" t="n">
        <v>1</v>
      </c>
      <c r="G9" s="6" t="n">
        <f aca="false">E9+F9-1</f>
        <v>10</v>
      </c>
      <c r="H9" s="6" t="n">
        <f aca="false">F9*8*2</f>
        <v>16</v>
      </c>
      <c r="I9" s="9"/>
      <c r="J9" s="10"/>
      <c r="K9" s="10"/>
      <c r="L9" s="10"/>
      <c r="M9" s="10"/>
      <c r="N9" s="9"/>
      <c r="O9" s="10"/>
      <c r="P9" s="10"/>
      <c r="Q9" s="10"/>
      <c r="R9" s="10"/>
      <c r="S9" s="9"/>
      <c r="T9" s="10"/>
      <c r="U9" s="10"/>
      <c r="V9" s="10"/>
      <c r="W9" s="10"/>
    </row>
    <row r="10" customFormat="false" ht="15" hidden="false" customHeight="true" outlineLevel="0" collapsed="false">
      <c r="A10" s="6" t="n">
        <v>8</v>
      </c>
      <c r="B10" s="13" t="s">
        <v>24</v>
      </c>
      <c r="C10" s="8" t="s">
        <v>25</v>
      </c>
      <c r="D10" s="6" t="s">
        <v>11</v>
      </c>
      <c r="E10" s="6" t="n">
        <v>11</v>
      </c>
      <c r="F10" s="6" t="n">
        <v>2</v>
      </c>
      <c r="G10" s="6" t="n">
        <f aca="false">E10+F10-1</f>
        <v>12</v>
      </c>
      <c r="H10" s="6" t="n">
        <f aca="false">F10*8*3</f>
        <v>48</v>
      </c>
      <c r="I10" s="9"/>
      <c r="J10" s="10"/>
      <c r="K10" s="10"/>
      <c r="L10" s="10"/>
      <c r="M10" s="10"/>
      <c r="N10" s="9"/>
      <c r="O10" s="10"/>
      <c r="P10" s="10"/>
      <c r="Q10" s="10"/>
      <c r="R10" s="10"/>
      <c r="S10" s="9"/>
      <c r="T10" s="10"/>
      <c r="U10" s="10"/>
      <c r="V10" s="10"/>
      <c r="W10" s="10"/>
    </row>
    <row r="11" customFormat="false" ht="15" hidden="false" customHeight="true" outlineLevel="0" collapsed="false">
      <c r="A11" s="6" t="n">
        <v>9</v>
      </c>
      <c r="B11" s="13" t="s">
        <v>24</v>
      </c>
      <c r="C11" s="8" t="s">
        <v>26</v>
      </c>
      <c r="D11" s="6" t="s">
        <v>23</v>
      </c>
      <c r="E11" s="6" t="n">
        <v>13</v>
      </c>
      <c r="F11" s="6" t="n">
        <v>1</v>
      </c>
      <c r="G11" s="6" t="n">
        <f aca="false">E11+F11-1</f>
        <v>13</v>
      </c>
      <c r="H11" s="6" t="n">
        <f aca="false">F11*8*2</f>
        <v>16</v>
      </c>
      <c r="I11" s="9"/>
      <c r="J11" s="10"/>
      <c r="K11" s="10"/>
      <c r="L11" s="10"/>
      <c r="M11" s="10"/>
      <c r="N11" s="9"/>
      <c r="O11" s="10"/>
      <c r="P11" s="10"/>
      <c r="Q11" s="10"/>
      <c r="R11" s="10"/>
      <c r="S11" s="9"/>
      <c r="T11" s="10"/>
      <c r="U11" s="10"/>
      <c r="V11" s="10"/>
      <c r="W11" s="10"/>
    </row>
    <row r="12" customFormat="false" ht="15" hidden="false" customHeight="true" outlineLevel="0" collapsed="false">
      <c r="A12" s="6" t="n">
        <v>10</v>
      </c>
      <c r="B12" s="14" t="s">
        <v>27</v>
      </c>
      <c r="C12" s="8" t="s">
        <v>28</v>
      </c>
      <c r="D12" s="6" t="s">
        <v>29</v>
      </c>
      <c r="E12" s="6" t="n">
        <v>14</v>
      </c>
      <c r="F12" s="6" t="n">
        <v>1</v>
      </c>
      <c r="G12" s="6" t="n">
        <f aca="false">E12+F12-1</f>
        <v>14</v>
      </c>
      <c r="H12" s="6" t="n">
        <f aca="false">F12*8*1</f>
        <v>8</v>
      </c>
      <c r="I12" s="9"/>
      <c r="J12" s="10"/>
      <c r="K12" s="10"/>
      <c r="L12" s="10"/>
      <c r="M12" s="10"/>
      <c r="N12" s="9"/>
      <c r="O12" s="10"/>
      <c r="P12" s="10"/>
      <c r="Q12" s="10"/>
      <c r="R12" s="10"/>
      <c r="S12" s="9"/>
      <c r="T12" s="10"/>
      <c r="U12" s="10"/>
      <c r="V12" s="10"/>
      <c r="W12" s="10"/>
    </row>
    <row r="13" customFormat="false" ht="15" hidden="false" customHeight="true" outlineLevel="0" collapsed="false">
      <c r="A13" s="6" t="n">
        <v>11</v>
      </c>
      <c r="B13" s="14" t="s">
        <v>27</v>
      </c>
      <c r="C13" s="8" t="s">
        <v>30</v>
      </c>
      <c r="D13" s="6" t="s">
        <v>11</v>
      </c>
      <c r="E13" s="6" t="n">
        <v>15</v>
      </c>
      <c r="F13" s="6" t="n">
        <v>1</v>
      </c>
      <c r="G13" s="6" t="n">
        <f aca="false">E13+F13-1</f>
        <v>15</v>
      </c>
      <c r="H13" s="6" t="n">
        <f aca="false">F13*8*3</f>
        <v>24</v>
      </c>
      <c r="I13" s="9"/>
      <c r="J13" s="10"/>
      <c r="K13" s="10"/>
      <c r="L13" s="10"/>
      <c r="M13" s="10"/>
      <c r="N13" s="9"/>
      <c r="O13" s="10"/>
      <c r="P13" s="10"/>
      <c r="Q13" s="10"/>
      <c r="R13" s="10"/>
      <c r="S13" s="9"/>
      <c r="T13" s="10"/>
      <c r="U13" s="10"/>
      <c r="V13" s="10"/>
      <c r="W13" s="10"/>
    </row>
    <row r="14" customFormat="false" ht="15" hidden="false" customHeight="true" outlineLevel="0" collapsed="false">
      <c r="C14" s="15" t="s">
        <v>31</v>
      </c>
      <c r="H14" s="15" t="n">
        <f aca="false">SUM(H3:H13)</f>
        <v>296</v>
      </c>
      <c r="I14" s="16"/>
      <c r="N14" s="16"/>
      <c r="S14" s="16"/>
    </row>
  </sheetData>
  <mergeCells count="1">
    <mergeCell ref="A1:W1"/>
  </mergeCells>
  <conditionalFormatting sqref="I3:I13">
    <cfRule type="expression" priority="2" aboveAverage="0" equalAverage="0" bottom="0" percent="0" rank="0" text="" dxfId="0">
      <formula>AND(1&gt;=$E3,1&lt;=$G3)</formula>
    </cfRule>
  </conditionalFormatting>
  <conditionalFormatting sqref="J3:J13">
    <cfRule type="expression" priority="3" aboveAverage="0" equalAverage="0" bottom="0" percent="0" rank="0" text="" dxfId="0">
      <formula>AND(2&gt;=$E3,2&lt;=$G3)</formula>
    </cfRule>
  </conditionalFormatting>
  <conditionalFormatting sqref="K3:K13">
    <cfRule type="expression" priority="4" aboveAverage="0" equalAverage="0" bottom="0" percent="0" rank="0" text="" dxfId="0">
      <formula>AND(3&gt;=$E3,3&lt;=$G3)</formula>
    </cfRule>
  </conditionalFormatting>
  <conditionalFormatting sqref="L3:L13">
    <cfRule type="expression" priority="5" aboveAverage="0" equalAverage="0" bottom="0" percent="0" rank="0" text="" dxfId="0">
      <formula>AND(4&gt;=$E3,4&lt;=$G3)</formula>
    </cfRule>
  </conditionalFormatting>
  <conditionalFormatting sqref="M3:M13">
    <cfRule type="expression" priority="6" aboveAverage="0" equalAverage="0" bottom="0" percent="0" rank="0" text="" dxfId="0">
      <formula>AND(5&gt;=$E3,5&lt;=$G3)</formula>
    </cfRule>
  </conditionalFormatting>
  <conditionalFormatting sqref="N3:N13">
    <cfRule type="expression" priority="7" aboveAverage="0" equalAverage="0" bottom="0" percent="0" rank="0" text="" dxfId="0">
      <formula>AND(6&gt;=$E3,6&lt;=$G3)</formula>
    </cfRule>
  </conditionalFormatting>
  <conditionalFormatting sqref="O3:O13">
    <cfRule type="expression" priority="8" aboveAverage="0" equalAverage="0" bottom="0" percent="0" rank="0" text="" dxfId="0">
      <formula>AND(7&gt;=$E3,7&lt;=$G3)</formula>
    </cfRule>
  </conditionalFormatting>
  <conditionalFormatting sqref="P3:P13">
    <cfRule type="expression" priority="9" aboveAverage="0" equalAverage="0" bottom="0" percent="0" rank="0" text="" dxfId="0">
      <formula>AND(8&gt;=$E3,8&lt;=$G3)</formula>
    </cfRule>
  </conditionalFormatting>
  <conditionalFormatting sqref="Q3:Q13">
    <cfRule type="expression" priority="10" aboveAverage="0" equalAverage="0" bottom="0" percent="0" rank="0" text="" dxfId="0">
      <formula>AND(9&gt;=$E3,9&lt;=$G3)</formula>
    </cfRule>
  </conditionalFormatting>
  <conditionalFormatting sqref="R3:R13">
    <cfRule type="expression" priority="11" aboveAverage="0" equalAverage="0" bottom="0" percent="0" rank="0" text="" dxfId="0">
      <formula>AND(10&gt;=$E3,10&lt;=$G3)</formula>
    </cfRule>
  </conditionalFormatting>
  <conditionalFormatting sqref="S3:S13">
    <cfRule type="expression" priority="12" aboveAverage="0" equalAverage="0" bottom="0" percent="0" rank="0" text="" dxfId="0">
      <formula>AND(11&gt;=$E3,11&lt;=$G3)</formula>
    </cfRule>
  </conditionalFormatting>
  <conditionalFormatting sqref="T3:T13">
    <cfRule type="expression" priority="13" aboveAverage="0" equalAverage="0" bottom="0" percent="0" rank="0" text="" dxfId="0">
      <formula>AND(12&gt;=$E3,12&lt;=$G3)</formula>
    </cfRule>
  </conditionalFormatting>
  <conditionalFormatting sqref="U3:U13">
    <cfRule type="expression" priority="14" aboveAverage="0" equalAverage="0" bottom="0" percent="0" rank="0" text="" dxfId="0">
      <formula>AND(13&gt;=$E3,13&lt;=$G3)</formula>
    </cfRule>
  </conditionalFormatting>
  <conditionalFormatting sqref="V3:V13">
    <cfRule type="expression" priority="15" aboveAverage="0" equalAverage="0" bottom="0" percent="0" rank="0" text="" dxfId="0">
      <formula>AND(14&gt;=$E3,14&lt;=$G3)</formula>
    </cfRule>
  </conditionalFormatting>
  <conditionalFormatting sqref="W3:W13">
    <cfRule type="expression" priority="16" aboveAverage="0" equalAverage="0" bottom="0" percent="0" rank="0" text="" dxfId="0">
      <formula>AND(15&gt;=$E3,15&lt;=$G3)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0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6"/>
  </cols>
  <sheetData>
    <row r="1" customFormat="false" ht="21.75" hidden="false" customHeight="true" outlineLevel="0" collapsed="false">
      <c r="A1" s="17" t="s">
        <v>32</v>
      </c>
      <c r="B1" s="17"/>
      <c r="C1" s="17"/>
      <c r="D1" s="17"/>
      <c r="E1" s="17"/>
      <c r="F1" s="17"/>
    </row>
    <row r="3" customFormat="false" ht="15" hidden="false" customHeight="true" outlineLevel="0" collapsed="false">
      <c r="A3" s="18" t="s">
        <v>33</v>
      </c>
    </row>
    <row r="4" customFormat="false" ht="15" hidden="false" customHeight="true" outlineLevel="0" collapsed="false">
      <c r="A4" s="19" t="s">
        <v>34</v>
      </c>
      <c r="B4" s="20" t="n">
        <v>25000</v>
      </c>
      <c r="C4" s="21" t="s">
        <v>35</v>
      </c>
      <c r="D4" s="21"/>
      <c r="E4" s="21"/>
      <c r="F4" s="21"/>
    </row>
    <row r="5" customFormat="false" ht="15" hidden="false" customHeight="true" outlineLevel="0" collapsed="false">
      <c r="A5" s="19" t="s">
        <v>36</v>
      </c>
      <c r="B5" s="20" t="n">
        <v>8</v>
      </c>
      <c r="C5" s="21" t="s">
        <v>37</v>
      </c>
      <c r="D5" s="21"/>
      <c r="E5" s="21"/>
      <c r="F5" s="21"/>
    </row>
    <row r="6" customFormat="false" ht="15" hidden="false" customHeight="true" outlineLevel="0" collapsed="false">
      <c r="A6" s="19" t="s">
        <v>38</v>
      </c>
      <c r="B6" s="20" t="n">
        <v>3</v>
      </c>
      <c r="C6" s="21" t="s">
        <v>39</v>
      </c>
      <c r="D6" s="21"/>
      <c r="E6" s="21"/>
      <c r="F6" s="21"/>
    </row>
    <row r="7" customFormat="false" ht="15" hidden="false" customHeight="true" outlineLevel="0" collapsed="false">
      <c r="A7" s="19" t="s">
        <v>40</v>
      </c>
      <c r="B7" s="20" t="n">
        <f aca="false">3*8*5*B6</f>
        <v>360</v>
      </c>
      <c r="C7" s="21" t="s">
        <v>41</v>
      </c>
      <c r="D7" s="21"/>
      <c r="E7" s="21"/>
      <c r="F7" s="21"/>
    </row>
    <row r="8" customFormat="false" ht="15" hidden="false" customHeight="true" outlineLevel="0" collapsed="false">
      <c r="A8" s="19" t="s">
        <v>42</v>
      </c>
      <c r="B8" s="20" t="n">
        <v>920</v>
      </c>
      <c r="C8" s="21" t="s">
        <v>43</v>
      </c>
      <c r="D8" s="21"/>
      <c r="E8" s="21"/>
      <c r="F8" s="21"/>
    </row>
    <row r="10" customFormat="false" ht="15" hidden="false" customHeight="true" outlineLevel="0" collapsed="false">
      <c r="A10" s="18" t="s">
        <v>44</v>
      </c>
    </row>
    <row r="11" customFormat="false" ht="15" hidden="false" customHeight="true" outlineLevel="0" collapsed="false">
      <c r="A11" s="22" t="s">
        <v>1</v>
      </c>
      <c r="B11" s="22" t="s">
        <v>3</v>
      </c>
      <c r="C11" s="22" t="s">
        <v>4</v>
      </c>
      <c r="D11" s="22" t="s">
        <v>8</v>
      </c>
      <c r="E11" s="22" t="s">
        <v>45</v>
      </c>
      <c r="F11" s="22" t="s">
        <v>46</v>
      </c>
    </row>
    <row r="12" customFormat="false" ht="21.75" hidden="false" customHeight="true" outlineLevel="0" collapsed="false">
      <c r="A12" s="6" t="n">
        <v>1</v>
      </c>
      <c r="B12" s="8" t="s">
        <v>10</v>
      </c>
      <c r="C12" s="6" t="s">
        <v>11</v>
      </c>
      <c r="D12" s="6" t="n">
        <f aca="false">'Carta Gantt'!H3</f>
        <v>48</v>
      </c>
      <c r="E12" s="23" t="n">
        <f aca="false">$B$4</f>
        <v>25000</v>
      </c>
      <c r="F12" s="23" t="n">
        <f aca="false">D12*E12</f>
        <v>1200000</v>
      </c>
    </row>
    <row r="13" customFormat="false" ht="15" hidden="false" customHeight="true" outlineLevel="0" collapsed="false">
      <c r="A13" s="6" t="n">
        <v>2</v>
      </c>
      <c r="B13" s="8" t="s">
        <v>12</v>
      </c>
      <c r="C13" s="6" t="s">
        <v>11</v>
      </c>
      <c r="D13" s="6" t="n">
        <f aca="false">'Carta Gantt'!H4</f>
        <v>24</v>
      </c>
      <c r="E13" s="23" t="n">
        <f aca="false">$B$4</f>
        <v>25000</v>
      </c>
      <c r="F13" s="23" t="n">
        <f aca="false">D13*E13</f>
        <v>600000</v>
      </c>
    </row>
    <row r="14" customFormat="false" ht="15" hidden="false" customHeight="true" outlineLevel="0" collapsed="false">
      <c r="A14" s="6" t="n">
        <v>3</v>
      </c>
      <c r="B14" s="8" t="s">
        <v>13</v>
      </c>
      <c r="C14" s="6" t="s">
        <v>14</v>
      </c>
      <c r="D14" s="6" t="n">
        <f aca="false">'Carta Gantt'!H5</f>
        <v>32</v>
      </c>
      <c r="E14" s="23" t="n">
        <f aca="false">$B$4</f>
        <v>25000</v>
      </c>
      <c r="F14" s="23" t="n">
        <f aca="false">D14*E14</f>
        <v>800000</v>
      </c>
    </row>
    <row r="15" customFormat="false" ht="15" hidden="false" customHeight="true" outlineLevel="0" collapsed="false">
      <c r="A15" s="6" t="n">
        <v>4</v>
      </c>
      <c r="B15" s="8" t="s">
        <v>15</v>
      </c>
      <c r="C15" s="6" t="s">
        <v>16</v>
      </c>
      <c r="D15" s="6" t="n">
        <f aca="false">'Carta Gantt'!H6</f>
        <v>16</v>
      </c>
      <c r="E15" s="23" t="n">
        <f aca="false">$B$4</f>
        <v>25000</v>
      </c>
      <c r="F15" s="23" t="n">
        <f aca="false">D15*E15</f>
        <v>400000</v>
      </c>
    </row>
    <row r="16" customFormat="false" ht="21.75" hidden="false" customHeight="true" outlineLevel="0" collapsed="false">
      <c r="A16" s="6" t="n">
        <v>5</v>
      </c>
      <c r="B16" s="8" t="s">
        <v>18</v>
      </c>
      <c r="C16" s="6" t="s">
        <v>19</v>
      </c>
      <c r="D16" s="6" t="n">
        <f aca="false">'Carta Gantt'!H7</f>
        <v>32</v>
      </c>
      <c r="E16" s="23" t="n">
        <f aca="false">$B$4</f>
        <v>25000</v>
      </c>
      <c r="F16" s="23" t="n">
        <f aca="false">D16*E16</f>
        <v>800000</v>
      </c>
    </row>
    <row r="17" customFormat="false" ht="15" hidden="false" customHeight="true" outlineLevel="0" collapsed="false">
      <c r="A17" s="6" t="n">
        <v>6</v>
      </c>
      <c r="B17" s="8" t="s">
        <v>21</v>
      </c>
      <c r="C17" s="6" t="s">
        <v>14</v>
      </c>
      <c r="D17" s="6" t="n">
        <f aca="false">'Carta Gantt'!H8</f>
        <v>32</v>
      </c>
      <c r="E17" s="23" t="n">
        <f aca="false">$B$4</f>
        <v>25000</v>
      </c>
      <c r="F17" s="23" t="n">
        <f aca="false">D17*E17</f>
        <v>800000</v>
      </c>
    </row>
    <row r="18" customFormat="false" ht="15" hidden="false" customHeight="true" outlineLevel="0" collapsed="false">
      <c r="A18" s="6" t="n">
        <v>7</v>
      </c>
      <c r="B18" s="8" t="s">
        <v>22</v>
      </c>
      <c r="C18" s="6" t="s">
        <v>23</v>
      </c>
      <c r="D18" s="6" t="n">
        <f aca="false">'Carta Gantt'!H9</f>
        <v>16</v>
      </c>
      <c r="E18" s="23" t="n">
        <f aca="false">$B$4</f>
        <v>25000</v>
      </c>
      <c r="F18" s="23" t="n">
        <f aca="false">D18*E18</f>
        <v>400000</v>
      </c>
    </row>
    <row r="19" customFormat="false" ht="15" hidden="false" customHeight="true" outlineLevel="0" collapsed="false">
      <c r="A19" s="6" t="n">
        <v>8</v>
      </c>
      <c r="B19" s="8" t="s">
        <v>25</v>
      </c>
      <c r="C19" s="6" t="s">
        <v>11</v>
      </c>
      <c r="D19" s="6" t="n">
        <f aca="false">'Carta Gantt'!H10</f>
        <v>48</v>
      </c>
      <c r="E19" s="23" t="n">
        <f aca="false">$B$4</f>
        <v>25000</v>
      </c>
      <c r="F19" s="23" t="n">
        <f aca="false">D19*E19</f>
        <v>1200000</v>
      </c>
    </row>
    <row r="20" customFormat="false" ht="15" hidden="false" customHeight="true" outlineLevel="0" collapsed="false">
      <c r="A20" s="6" t="n">
        <v>9</v>
      </c>
      <c r="B20" s="8" t="s">
        <v>26</v>
      </c>
      <c r="C20" s="6" t="s">
        <v>23</v>
      </c>
      <c r="D20" s="6" t="n">
        <f aca="false">'Carta Gantt'!H11</f>
        <v>16</v>
      </c>
      <c r="E20" s="23" t="n">
        <f aca="false">$B$4</f>
        <v>25000</v>
      </c>
      <c r="F20" s="23" t="n">
        <f aca="false">D20*E20</f>
        <v>400000</v>
      </c>
    </row>
    <row r="21" customFormat="false" ht="15" hidden="false" customHeight="true" outlineLevel="0" collapsed="false">
      <c r="A21" s="6" t="n">
        <v>10</v>
      </c>
      <c r="B21" s="8" t="s">
        <v>28</v>
      </c>
      <c r="C21" s="6" t="s">
        <v>29</v>
      </c>
      <c r="D21" s="6" t="n">
        <f aca="false">'Carta Gantt'!H12</f>
        <v>8</v>
      </c>
      <c r="E21" s="23" t="n">
        <f aca="false">$B$4</f>
        <v>25000</v>
      </c>
      <c r="F21" s="23" t="n">
        <f aca="false">D21*E21</f>
        <v>200000</v>
      </c>
    </row>
    <row r="22" customFormat="false" ht="15" hidden="false" customHeight="true" outlineLevel="0" collapsed="false">
      <c r="A22" s="6" t="n">
        <v>11</v>
      </c>
      <c r="B22" s="8" t="s">
        <v>30</v>
      </c>
      <c r="C22" s="6" t="s">
        <v>11</v>
      </c>
      <c r="D22" s="6" t="n">
        <f aca="false">'Carta Gantt'!H13</f>
        <v>24</v>
      </c>
      <c r="E22" s="23" t="n">
        <f aca="false">$B$4</f>
        <v>25000</v>
      </c>
      <c r="F22" s="23" t="n">
        <f aca="false">D22*E22</f>
        <v>600000</v>
      </c>
    </row>
    <row r="23" customFormat="false" ht="15" hidden="false" customHeight="true" outlineLevel="0" collapsed="false">
      <c r="A23" s="10"/>
      <c r="B23" s="15" t="s">
        <v>47</v>
      </c>
      <c r="C23" s="10"/>
      <c r="D23" s="15" t="n">
        <f aca="false">SUM(D12:D22)</f>
        <v>296</v>
      </c>
      <c r="E23" s="10"/>
      <c r="F23" s="24" t="n">
        <f aca="false">SUM(F12:F22)</f>
        <v>7400000</v>
      </c>
    </row>
    <row r="25" customFormat="false" ht="15" hidden="false" customHeight="true" outlineLevel="0" collapsed="false">
      <c r="A25" s="18" t="s">
        <v>48</v>
      </c>
    </row>
    <row r="26" customFormat="false" ht="15" hidden="false" customHeight="true" outlineLevel="0" collapsed="false">
      <c r="A26" s="22" t="s">
        <v>49</v>
      </c>
      <c r="D26" s="22" t="s">
        <v>50</v>
      </c>
      <c r="F26" s="22" t="s">
        <v>46</v>
      </c>
    </row>
    <row r="27" customFormat="false" ht="15" hidden="false" customHeight="true" outlineLevel="0" collapsed="false">
      <c r="A27" s="19" t="s">
        <v>51</v>
      </c>
      <c r="B27" s="19"/>
      <c r="C27" s="19"/>
      <c r="D27" s="19" t="s">
        <v>52</v>
      </c>
      <c r="E27" s="19"/>
      <c r="F27" s="25" t="n">
        <f aca="false">3*15*0.75*$B$8</f>
        <v>31050</v>
      </c>
    </row>
    <row r="28" customFormat="false" ht="15" hidden="false" customHeight="true" outlineLevel="0" collapsed="false">
      <c r="A28" s="19" t="s">
        <v>53</v>
      </c>
      <c r="B28" s="19"/>
      <c r="C28" s="19"/>
      <c r="D28" s="19" t="s">
        <v>54</v>
      </c>
      <c r="E28" s="19"/>
      <c r="F28" s="25" t="n">
        <f aca="false">0.1*F23</f>
        <v>740000</v>
      </c>
    </row>
    <row r="30" customFormat="false" ht="19.5" hidden="false" customHeight="true" outlineLevel="0" collapsed="false">
      <c r="A30" s="26" t="s">
        <v>55</v>
      </c>
      <c r="B30" s="26"/>
      <c r="C30" s="26"/>
      <c r="D30" s="26"/>
      <c r="E30" s="26"/>
      <c r="F30" s="27" t="n">
        <f aca="false">F23+F27+F28</f>
        <v>8171050</v>
      </c>
    </row>
    <row r="32" customFormat="false" ht="15" hidden="false" customHeight="true" outlineLevel="0" collapsed="false">
      <c r="A32" s="18" t="s">
        <v>56</v>
      </c>
    </row>
    <row r="33" customFormat="false" ht="15" hidden="false" customHeight="true" outlineLevel="0" collapsed="false">
      <c r="A33" s="19" t="s">
        <v>57</v>
      </c>
      <c r="B33" s="19"/>
      <c r="C33" s="19"/>
      <c r="D33" s="19" t="n">
        <f aca="false">D23</f>
        <v>296</v>
      </c>
      <c r="E33" s="19" t="n">
        <f aca="false">B7</f>
        <v>360</v>
      </c>
      <c r="F33" s="28" t="n">
        <f aca="false">D33/E33</f>
        <v>0.822222222222222</v>
      </c>
    </row>
  </sheetData>
  <mergeCells count="12">
    <mergeCell ref="A1:F1"/>
    <mergeCell ref="C4:F4"/>
    <mergeCell ref="C5:F5"/>
    <mergeCell ref="C6:F6"/>
    <mergeCell ref="C7:F7"/>
    <mergeCell ref="C8:F8"/>
    <mergeCell ref="A27:C27"/>
    <mergeCell ref="D27:E27"/>
    <mergeCell ref="A28:C28"/>
    <mergeCell ref="D28:E28"/>
    <mergeCell ref="A30:E30"/>
    <mergeCell ref="A33:C33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2026-08-21T00:10:49Z</dcterms:created>
  <dc:creator>openpyxl</dc:creator>
  <dc:description/>
  <dc:language>en-US</dc:language>
  <cp:lastModifiedBy/>
  <dcterms:modified xsi:type="dcterms:W3CDTF">2026-08-21T00:11:12Z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