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b444eef1414bce" /></Relationships>
</file>

<file path=xl/workbook.xml><?xml version="1.0" encoding="utf-8"?>
<x:workbook xmlns:x="http://schemas.openxmlformats.org/spreadsheetml/2006/main">
  <x:sheets>
    <x:sheet xmlns:r="http://schemas.openxmlformats.org/officeDocument/2006/relationships" name="Carta Gantt" sheetId="1" r:id="R7924cad6de844562"/>
    <x:sheet xmlns:r="http://schemas.openxmlformats.org/officeDocument/2006/relationships" name="Estructura de costos" sheetId="2" r:id="R7623d258c8494af2"/>
    <x:sheet xmlns:r="http://schemas.openxmlformats.org/officeDocument/2006/relationships" name="Resumen y supuestos" sheetId="3" r:id="R569bede5a2e5413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0%"/>
    <x:numFmt numFmtId="202" formatCode="&quot;$&quot;#,##0"/>
  </x:numFmts>
  <x:fonts count="14">
    <x:font>
      <x:sz val="11"/>
      <x:name val="Carlito"/>
    </x:font>
    <x:font>
      <x:b/>
      <x:sz val="19"/>
      <x:color rgb="FFFFFFFF"/>
      <x:name val="Carlito"/>
    </x:font>
    <x:font>
      <x:i/>
      <x:sz val="10"/>
      <x:color rgb="FF67716B"/>
      <x:name val="Carlito"/>
    </x:font>
    <x:font>
      <x:b/>
      <x:sz val="9"/>
      <x:color rgb="FF18332E"/>
      <x:name val="Carlito"/>
    </x:font>
    <x:font>
      <x:b/>
      <x:sz val="9"/>
      <x:color rgb="FFFFFFFF"/>
      <x:name val="Carlito"/>
    </x:font>
    <x:font>
      <x:sz val="9"/>
      <x:color rgb="FF18332E"/>
      <x:name val="Arial"/>
    </x:font>
    <x:font>
      <x:b/>
      <x:sz val="10"/>
      <x:color rgb="FFFFFFFF"/>
      <x:name val="Carlito"/>
    </x:font>
    <x:font>
      <x:b/>
      <x:sz val="11"/>
      <x:color rgb="FFFFFFFF"/>
      <x:name val="Carlito"/>
    </x:font>
    <x:font>
      <x:b/>
      <x:sz val="10"/>
      <x:color rgb="FF1D4ED8"/>
      <x:name val="Arial"/>
    </x:font>
    <x:font>
      <x:b/>
      <x:sz val="10"/>
      <x:color rgb="FF18332E"/>
      <x:name val="Carlito"/>
    </x:font>
    <x:font>
      <x:sz val="9"/>
      <x:color rgb="FF1D4ED8"/>
      <x:name val="Arial"/>
    </x:font>
    <x:font>
      <x:b/>
      <x:sz val="11"/>
      <x:color rgb="FF1D4ED8"/>
      <x:name val="Carlito"/>
    </x:font>
    <x:font>
      <x:sz val="10"/>
      <x:color rgb="FF18332E"/>
      <x:name val="Carlito"/>
    </x:font>
    <x:font>
      <x:i/>
      <x:sz val="9"/>
      <x:color rgb="FF18332E"/>
      <x:name val="Carlito"/>
    </x:font>
  </x:fonts>
  <x:fills count="10">
    <x:fill>
      <x:patternFill patternType="none"/>
    </x:fill>
    <x:fill>
      <x:patternFill patternType="gray125"/>
    </x:fill>
    <x:fill>
      <x:patternFill patternType="solid">
        <x:fgColor rgb="FF18332E"/>
      </x:patternFill>
    </x:fill>
    <x:fill>
      <x:patternFill patternType="solid">
        <x:fgColor rgb="FFFAF7F0"/>
      </x:patternFill>
    </x:fill>
    <x:fill>
      <x:patternFill patternType="solid">
        <x:fgColor rgb="FFB6C8AF"/>
      </x:patternFill>
    </x:fill>
    <x:fill>
      <x:patternFill patternType="solid">
        <x:fgColor rgb="FF315C50"/>
      </x:patternFill>
    </x:fill>
    <x:fill>
      <x:patternFill patternType="solid">
        <x:fgColor rgb="FFFFF4CF"/>
      </x:patternFill>
    </x:fill>
    <x:fill>
      <x:patternFill patternType="solid">
        <x:fgColor rgb="FFEDF3EA"/>
      </x:patternFill>
    </x:fill>
    <x:fill>
      <x:patternFill patternType="solid">
        <x:fgColor rgb="FFF2F4F2"/>
      </x:patternFill>
    </x:fill>
    <x:fill>
      <x:patternFill patternType="solid">
        <x:fgColor rgb="FFFFFFFF"/>
      </x:patternFill>
    </x:fill>
  </x:fills>
  <x:borders count="10">
    <x:border/>
    <x:border>
      <x:right style="thin">
        <x:color rgb="FFFFFFFF"/>
      </x:right>
      <x:bottom style="thin">
        <x:color rgb="FFFFFFFF"/>
      </x:bottom>
    </x:border>
    <x:border>
      <x:left style="thin">
        <x:color rgb="FFFFFFFF"/>
      </x:left>
      <x:right style="thin">
        <x:color rgb="FFFFFFFF"/>
      </x:right>
      <x:bottom style="thin">
        <x:color rgb="FFFFFFFF"/>
      </x:bottom>
    </x:border>
    <x:border>
      <x:left style="thin">
        <x:color rgb="FFFFFFFF"/>
      </x:left>
      <x:bottom style="thin">
        <x:color rgb="FFFFFFFF"/>
      </x:bottom>
    </x:border>
    <x:border>
      <x:right style="thin">
        <x:color rgb="FFFFFFFF"/>
      </x:right>
      <x:top style="thin">
        <x:color rgb="FFFFFFFF"/>
      </x:top>
      <x:bottom style="thin">
        <x:color rgb="FFFFFFFF"/>
      </x:bottom>
    </x:border>
    <x:border>
      <x:left style="thin">
        <x:color rgb="FFFFFFFF"/>
      </x:left>
      <x:right style="thin">
        <x:color rgb="FFFFFFFF"/>
      </x:right>
      <x:top style="thin">
        <x:color rgb="FFFFFFFF"/>
      </x:top>
      <x:bottom style="thin">
        <x:color rgb="FFFFFFFF"/>
      </x:bottom>
    </x:border>
    <x:border>
      <x:left style="thin">
        <x:color rgb="FFFFFFFF"/>
      </x:left>
      <x:top style="thin">
        <x:color rgb="FFFFFFFF"/>
      </x:top>
      <x:bottom style="thin">
        <x:color rgb="FFFFFFFF"/>
      </x:bottom>
    </x:border>
    <x:border>
      <x:right style="thin">
        <x:color rgb="FFFFFFFF"/>
      </x:right>
      <x:top style="thin">
        <x:color rgb="FFFFFFFF"/>
      </x:top>
    </x:border>
    <x:border>
      <x:left style="thin">
        <x:color rgb="FFFFFFFF"/>
      </x:left>
      <x:right style="thin">
        <x:color rgb="FFFFFFFF"/>
      </x:right>
      <x:top style="thin">
        <x:color rgb="FFFFFFFF"/>
      </x:top>
    </x:border>
    <x:border>
      <x:left style="thin">
        <x:color rgb="FFFFFFFF"/>
      </x:left>
      <x:top style="thin">
        <x:color rgb="FFFFFFFF"/>
      </x:top>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0" fontId="5" fillId="0" borderId="1" xfId="0" applyNumberFormat="1" applyFont="1" applyFill="1" applyBorder="1" applyAlignment="1">
      <x:alignment vertical="center"/>
    </x:xf>
    <x:xf numFmtId="200" fontId="5" fillId="0" borderId="2" xfId="0" applyNumberFormat="1" applyFont="1" applyFill="1" applyBorder="1" applyAlignment="1">
      <x:alignment vertical="center"/>
    </x:xf>
    <x:xf numFmtId="200" fontId="5" fillId="0" borderId="3" xfId="0" applyNumberFormat="1" applyFont="1" applyFill="1" applyBorder="1" applyAlignment="1">
      <x:alignment vertical="center"/>
    </x:xf>
    <x:xf numFmtId="200" fontId="5" fillId="0" borderId="4" xfId="0" applyNumberFormat="1" applyFont="1" applyFill="1" applyBorder="1" applyAlignment="1">
      <x:alignment vertical="center"/>
    </x:xf>
    <x:xf numFmtId="200" fontId="5" fillId="0" borderId="5" xfId="0" applyNumberFormat="1" applyFont="1" applyFill="1" applyBorder="1" applyAlignment="1">
      <x:alignment vertical="center"/>
    </x:xf>
    <x:xf numFmtId="200" fontId="5" fillId="0" borderId="6" xfId="0" applyNumberFormat="1" applyFont="1" applyFill="1" applyBorder="1" applyAlignment="1">
      <x:alignment vertical="center"/>
    </x:xf>
    <x:xf numFmtId="200" fontId="5" fillId="0" borderId="7" xfId="0" applyNumberFormat="1" applyFont="1" applyFill="1" applyBorder="1" applyAlignment="1">
      <x:alignment vertical="center"/>
    </x:xf>
    <x:xf numFmtId="200" fontId="5" fillId="0" borderId="8" xfId="0" applyNumberFormat="1" applyFont="1" applyFill="1" applyBorder="1" applyAlignment="1">
      <x:alignment vertical="center"/>
    </x:xf>
    <x:xf numFmtId="200" fontId="5" fillId="0" borderId="9" xfId="0" applyNumberFormat="1" applyFont="1" applyFill="1" applyBorder="1" applyAlignment="1">
      <x:alignment vertical="center"/>
    </x:xf>
    <x:xf numFmtId="0" fontId="6" fillId="2" borderId="0" xfId="0" applyNumberFormat="1" applyFont="1" applyFill="1" applyBorder="1"/>
    <x:xf numFmtId="0" fontId="7" fillId="5" borderId="0" xfId="0" applyNumberFormat="1" applyFont="1" applyFill="1" applyBorder="1"/>
    <x:xf numFmtId="0" fontId="5" fillId="6" borderId="0" xfId="0" applyNumberFormat="1" applyFont="1" applyFill="1" applyBorder="1" applyAlignment="1">
      <x:alignment vertical="center"/>
    </x:xf>
    <x:xf numFmtId="0" fontId="8" fillId="6" borderId="0" xfId="0" applyNumberFormat="1" applyFont="1" applyFill="1" applyBorder="1" applyAlignment="1">
      <x:alignment vertical="center"/>
    </x:xf>
    <x:xf numFmtId="0" fontId="0" fillId="7" borderId="0" xfId="0" applyNumberFormat="1" applyFont="1" applyFill="1" applyBorder="1"/>
    <x:xf numFmtId="0" fontId="9" fillId="7" borderId="0" xfId="0" applyNumberFormat="1" applyFont="1" applyFill="1" applyBorder="1"/>
    <x:xf numFmtId="0" fontId="10" fillId="6" borderId="0" xfId="0" applyNumberFormat="1" applyFont="1" applyFill="1" applyBorder="1" applyAlignment="1">
      <x:alignment vertical="center"/>
    </x:xf>
    <x:xf numFmtId="201" fontId="0" fillId="0" borderId="0" xfId="0" applyNumberFormat="1" applyFont="1" applyFill="1" applyBorder="1"/>
    <x:xf numFmtId="201" fontId="0" fillId="6" borderId="0" xfId="0" applyNumberFormat="1" applyFont="1" applyFill="1" applyBorder="1"/>
    <x:xf numFmtId="201" fontId="11" fillId="6" borderId="0" xfId="0" applyNumberFormat="1" applyFont="1" applyFill="1" applyBorder="1"/>
    <x:xf numFmtId="0" fontId="7" fillId="2" borderId="0" xfId="0" applyNumberFormat="1" applyFont="1" applyFill="1" applyBorder="1"/>
    <x:xf numFmtId="202" fontId="8" fillId="6" borderId="0" xfId="0" applyNumberFormat="1" applyFont="1" applyFill="1" applyBorder="1" applyAlignment="1">
      <x:alignment vertical="center"/>
    </x:xf>
    <x:xf numFmtId="202" fontId="5" fillId="0" borderId="0" xfId="0" applyNumberFormat="1" applyFont="1" applyFill="1" applyBorder="1" applyAlignment="1">
      <x:alignment vertical="center"/>
    </x:xf>
    <x:xf numFmtId="202" fontId="9" fillId="7" borderId="0" xfId="0" applyNumberFormat="1" applyFont="1" applyFill="1" applyBorder="1"/>
    <x:xf numFmtId="202" fontId="10" fillId="6" borderId="0" xfId="0" applyNumberFormat="1" applyFont="1" applyFill="1" applyBorder="1" applyAlignment="1">
      <x:alignment vertical="center"/>
    </x:xf>
    <x:xf numFmtId="202" fontId="0" fillId="0" borderId="0" xfId="0" applyNumberFormat="1" applyFont="1" applyFill="1" applyBorder="1"/>
    <x:xf numFmtId="202" fontId="7" fillId="2" borderId="0" xfId="0" applyNumberFormat="1" applyFont="1" applyFill="1" applyBorder="1"/>
    <x:xf numFmtId="0" fontId="12" fillId="3" borderId="0"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0" fillId="9" borderId="0" xfId="0" applyNumberFormat="1" applyFont="1" applyFill="1" applyBorder="1"/>
    <x:xf numFmtId="0" fontId="12" fillId="9" borderId="0" xfId="0" applyNumberFormat="1" applyFont="1" applyFill="1" applyBorder="1"/>
    <x:xf numFmtId="0" fontId="0" fillId="6" borderId="0" xfId="0" applyNumberFormat="1" applyFont="1" applyFill="1" applyBorder="1"/>
    <x:xf numFmtId="0" fontId="13" fillId="6" borderId="0" xfId="0" applyNumberFormat="1" applyFont="1" applyFill="1" applyBorder="1"/>
    <x:xf numFmtId="0" fontId="13" fillId="6" borderId="0" xfId="0" applyNumberFormat="1" applyFont="1" applyFill="1" applyBorder="1" applyAlignment="1">
      <x:alignment wrapText="1"/>
    </x:xf>
  </x:cellXfs>
  <x:cellStyles count="1">
    <x:cellStyle name="Normal" xfId="0"/>
  </x:cellStyles>
  <x:dxfs count="1">
    <x:dxf>
      <x:fill>
        <x:patternFill patternType="solid">
          <x:bgColor rgb="FFC67B6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b68c37eb9249dd" /><Relationship Type="http://schemas.openxmlformats.org/officeDocument/2006/relationships/theme" Target="/xl/theme/theme1.xml" Id="Rf467f8c2d4414bc5" /><Relationship Type="http://schemas.openxmlformats.org/officeDocument/2006/relationships/sharedStrings" Target="/xl/sharedStrings.xml" Id="R2e38bf3bc27e4a7f" /><Relationship Type="http://schemas.openxmlformats.org/officeDocument/2006/relationships/worksheet" Target="/xl/worksheets/sheet1.xml" Id="R7924cad6de844562" /><Relationship Type="http://schemas.openxmlformats.org/officeDocument/2006/relationships/worksheet" Target="/xl/worksheets/sheet2.xml" Id="R7623d258c8494af2" /><Relationship Type="http://schemas.openxmlformats.org/officeDocument/2006/relationships/worksheet" Target="/xl/worksheets/sheet3.xml" Id="R569bede5a2e541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9" hidden="0" customWidth="1"/>
    <x:col min="3" max="3" width="52" hidden="0" customWidth="1"/>
    <x:col min="4" max="4" width="8" hidden="0" customWidth="1"/>
    <x:col min="5" max="5" width="8" hidden="0" customWidth="1"/>
    <x:col min="6" max="6" width="19" hidden="0" customWidth="1"/>
    <x:col min="7" max="7" width="43" hidden="0" customWidth="1"/>
    <x:col min="8" max="8" width="11" hidden="0" customWidth="1"/>
    <x:col min="9" max="9" width="11" hidden="0" customWidth="1"/>
    <x:col min="10" max="10" width="11" hidden="0" customWidth="1"/>
    <x:col min="11" max="11" width="6" hidden="0" customWidth="1"/>
    <x:col min="12" max="12" width="6" hidden="0" customWidth="1"/>
    <x:col min="13" max="13" width="6" hidden="0" customWidth="1"/>
    <x:col min="14" max="14" width="6" hidden="0" customWidth="1"/>
    <x:col min="15" max="15" width="6" hidden="0" customWidth="1"/>
    <x:col min="16" max="16" width="6" hidden="0" customWidth="1"/>
    <x:col min="17" max="17" width="6" hidden="0" customWidth="1"/>
    <x:col min="18" max="18" width="6" hidden="0" customWidth="1"/>
    <x:col min="19" max="19" width="6" hidden="0" customWidth="1"/>
    <x:col min="20" max="20" width="6" hidden="0" customWidth="1"/>
    <x:col min="21" max="21" width="6" hidden="0" customWidth="1"/>
    <x:col min="22" max="22" width="6" hidden="0" customWidth="1"/>
    <x:col min="23" max="23" width="6" hidden="0" customWidth="1"/>
    <x:col min="24" max="24" width="6" hidden="0" customWidth="1"/>
    <x:col min="25" max="25" width="6" hidden="0" customWidth="1"/>
  </x:cols>
  <x:sheetData>
    <x:row r="1" ht="25" customHeight="1">
      <x:c r="A1" s="2" t="str">
        <x:v>SOBREMESA  |  CARTA GANTT · 3 SEMANAS</x:v>
      </x:c>
      <x:c r="B1" s="2"/>
      <x:c r="C1" s="2"/>
      <x:c r="D1" s="2"/>
      <x:c r="E1" s="2"/>
      <x:c r="F1" s="2"/>
      <x:c r="G1" s="2"/>
      <x:c r="H1" s="2"/>
      <x:c r="I1" s="2"/>
      <x:c r="J1" s="2"/>
      <x:c r="K1" s="2"/>
      <x:c r="L1" s="2"/>
      <x:c r="M1" s="2"/>
      <x:c r="N1" s="2"/>
      <x:c r="O1" s="2"/>
      <x:c r="P1" s="2"/>
      <x:c r="Q1" s="2"/>
      <x:c r="R1" s="2"/>
      <x:c r="S1" s="2"/>
      <x:c r="T1" s="2"/>
      <x:c r="U1" s="2"/>
      <x:c r="V1" s="2"/>
      <x:c r="W1" s="2"/>
      <x:c r="X1" s="2"/>
      <x:c r="Y1" s="2"/>
    </x:row>
    <x:row r="2" ht="25" customHeight="1">
      <x:c r="A2" s="2"/>
      <x:c r="B2" s="2"/>
      <x:c r="C2" s="2"/>
      <x:c r="D2" s="2"/>
      <x:c r="E2" s="2"/>
      <x:c r="F2" s="2"/>
      <x:c r="G2" s="2"/>
      <x:c r="H2" s="2"/>
      <x:c r="I2" s="2"/>
      <x:c r="J2" s="2"/>
      <x:c r="K2" s="2"/>
      <x:c r="L2" s="2"/>
      <x:c r="M2" s="2"/>
      <x:c r="N2" s="2"/>
      <x:c r="O2" s="2"/>
      <x:c r="P2" s="2"/>
      <x:c r="Q2" s="2"/>
      <x:c r="R2" s="2"/>
      <x:c r="S2" s="2"/>
      <x:c r="T2" s="2"/>
      <x:c r="U2" s="2"/>
      <x:c r="V2" s="2"/>
      <x:c r="W2" s="2"/>
      <x:c r="X2" s="2"/>
      <x:c r="Y2" s="2"/>
    </x:row>
    <x:row r="3" ht="23" customHeight="1">
      <x:c r="A3" s="4" t="str">
        <x:v>15 días hábiles · fases, responsables, entregables y horas editables por diseñadora</x:v>
      </x:c>
      <x:c r="B3" s="4"/>
      <x:c r="C3" s="4"/>
      <x:c r="D3" s="4"/>
      <x:c r="E3" s="4"/>
      <x:c r="F3" s="4"/>
      <x:c r="G3" s="4"/>
      <x:c r="H3" s="4"/>
      <x:c r="I3" s="4"/>
      <x:c r="J3" s="4"/>
      <x:c r="K3" s="4"/>
      <x:c r="L3" s="4"/>
      <x:c r="M3" s="4"/>
      <x:c r="N3" s="4"/>
      <x:c r="O3" s="4"/>
      <x:c r="P3" s="4"/>
      <x:c r="Q3" s="4"/>
      <x:c r="R3" s="4"/>
      <x:c r="S3" s="4"/>
      <x:c r="T3" s="4"/>
      <x:c r="U3" s="4"/>
      <x:c r="V3" s="4"/>
      <x:c r="W3" s="4"/>
      <x:c r="X3" s="4"/>
      <x:c r="Y3" s="4"/>
    </x:row>
    <x:row r="5" ht="23" customHeight="1">
      <x:c r="K5" s="7" t="str">
        <x:v>SEMANA 1 · DESCUBRIMIENTO</x:v>
      </x:c>
      <x:c r="L5" s="7"/>
      <x:c r="M5" s="7"/>
      <x:c r="N5" s="7"/>
      <x:c r="O5" s="7"/>
      <x:c r="P5" s="7" t="str">
        <x:v>SEMANA 2 · DISEÑO Y PROTOTIPO</x:v>
      </x:c>
      <x:c r="Q5" s="7"/>
      <x:c r="R5" s="7"/>
      <x:c r="S5" s="7"/>
      <x:c r="T5" s="7"/>
      <x:c r="U5" s="7" t="str">
        <x:v>SEMANA 3 · VALIDACIÓN Y CIERRE</x:v>
      </x:c>
      <x:c r="V5" s="7"/>
      <x:c r="W5" s="7"/>
      <x:c r="X5" s="7"/>
      <x:c r="Y5" s="7"/>
    </x:row>
    <x:row r="6" ht="31" customHeight="1">
      <x:c r="A6" s="11" t="str">
        <x:v>ID</x:v>
      </x:c>
      <x:c r="B6" s="11" t="str">
        <x:v>Fase</x:v>
      </x:c>
      <x:c r="C6" s="11" t="str">
        <x:v>Actividad</x:v>
      </x:c>
      <x:c r="D6" s="11" t="str">
        <x:v>Inicio</x:v>
      </x:c>
      <x:c r="E6" s="11" t="str">
        <x:v>Fin</x:v>
      </x:c>
      <x:c r="F6" s="11" t="str">
        <x:v>Responsable</x:v>
      </x:c>
      <x:c r="G6" s="11" t="str">
        <x:v>Entregable</x:v>
      </x:c>
      <x:c r="H6" s="11" t="str">
        <x:v>Horas D1</x:v>
      </x:c>
      <x:c r="I6" s="11" t="str">
        <x:v>Horas D2</x:v>
      </x:c>
      <x:c r="J6" s="11" t="str">
        <x:v>Horas D3</x:v>
      </x:c>
      <x:c r="K6" s="11" t="str">
        <x:v>D1</x:v>
      </x:c>
      <x:c r="L6" s="11" t="str">
        <x:v>D2</x:v>
      </x:c>
      <x:c r="M6" s="11" t="str">
        <x:v>D3</x:v>
      </x:c>
      <x:c r="N6" s="11" t="str">
        <x:v>D4</x:v>
      </x:c>
      <x:c r="O6" s="11" t="str">
        <x:v>D5</x:v>
      </x:c>
      <x:c r="P6" s="11" t="str">
        <x:v>D6</x:v>
      </x:c>
      <x:c r="Q6" s="11" t="str">
        <x:v>D7</x:v>
      </x:c>
      <x:c r="R6" s="11" t="str">
        <x:v>D8</x:v>
      </x:c>
      <x:c r="S6" s="11" t="str">
        <x:v>D9</x:v>
      </x:c>
      <x:c r="T6" s="11" t="str">
        <x:v>D10</x:v>
      </x:c>
      <x:c r="U6" s="11" t="str">
        <x:v>D11</x:v>
      </x:c>
      <x:c r="V6" s="11" t="str">
        <x:v>D12</x:v>
      </x:c>
      <x:c r="W6" s="11" t="str">
        <x:v>D13</x:v>
      </x:c>
      <x:c r="X6" s="11" t="str">
        <x:v>D14</x:v>
      </x:c>
      <x:c r="Y6" s="11" t="str">
        <x:v>D15</x:v>
      </x:c>
    </x:row>
    <x:row r="7" ht="21" customHeight="1">
      <x:c r="A7" s="13" t="str">
        <x:v>01</x:v>
      </x:c>
      <x:c r="B7" s="13" t="str">
        <x:v>Descubrimiento</x:v>
      </x:c>
      <x:c r="C7" s="13" t="str">
        <x:v>Revisión crítica de ficha y definición de alcance</x:v>
      </x:c>
      <x:c r="D7" s="13" t="n">
        <x:v>1</x:v>
      </x:c>
      <x:c r="E7" s="13" t="n">
        <x:v>1</x:v>
      </x:c>
      <x:c r="F7" s="13" t="str">
        <x:v>Equipo completo</x:v>
      </x:c>
      <x:c r="G7" s="13" t="str">
        <x:v>Alcance y supuestos validados</x:v>
      </x:c>
      <x:c r="H7" s="13" t="n">
        <x:v>4</x:v>
      </x:c>
      <x:c r="I7" s="13" t="n">
        <x:v>3</x:v>
      </x:c>
      <x:c r="J7" s="13" t="n">
        <x:v>3</x:v>
      </x:c>
      <x:c r="K7" s="15" t="n">
        <x:f>IF(AND(1&gt;=$D7,1&lt;=$E7),1,0)</x:f>
        <x:v>1</x:v>
      </x:c>
      <x:c r="L7" s="16" t="n">
        <x:f>IF(AND(2&gt;=$D7,2&lt;=$E7),1,0)</x:f>
        <x:v>0</x:v>
      </x:c>
      <x:c r="M7" s="16" t="n">
        <x:f>IF(AND(3&gt;=$D7,3&lt;=$E7),1,0)</x:f>
        <x:v>0</x:v>
      </x:c>
      <x:c r="N7" s="16" t="n">
        <x:f>IF(AND(4&gt;=$D7,4&lt;=$E7),1,0)</x:f>
        <x:v>0</x:v>
      </x:c>
      <x:c r="O7" s="16" t="n">
        <x:f>IF(AND(5&gt;=$D7,5&lt;=$E7),1,0)</x:f>
        <x:v>0</x:v>
      </x:c>
      <x:c r="P7" s="16" t="n">
        <x:f>IF(AND(6&gt;=$D7,6&lt;=$E7),1,0)</x:f>
        <x:v>0</x:v>
      </x:c>
      <x:c r="Q7" s="16" t="n">
        <x:f>IF(AND(7&gt;=$D7,7&lt;=$E7),1,0)</x:f>
        <x:v>0</x:v>
      </x:c>
      <x:c r="R7" s="16" t="n">
        <x:f>IF(AND(8&gt;=$D7,8&lt;=$E7),1,0)</x:f>
        <x:v>0</x:v>
      </x:c>
      <x:c r="S7" s="16" t="n">
        <x:f>IF(AND(9&gt;=$D7,9&lt;=$E7),1,0)</x:f>
        <x:v>0</x:v>
      </x:c>
      <x:c r="T7" s="16" t="n">
        <x:f>IF(AND(10&gt;=$D7,10&lt;=$E7),1,0)</x:f>
        <x:v>0</x:v>
      </x:c>
      <x:c r="U7" s="16" t="n">
        <x:f>IF(AND(11&gt;=$D7,11&lt;=$E7),1,0)</x:f>
        <x:v>0</x:v>
      </x:c>
      <x:c r="V7" s="16" t="n">
        <x:f>IF(AND(12&gt;=$D7,12&lt;=$E7),1,0)</x:f>
        <x:v>0</x:v>
      </x:c>
      <x:c r="W7" s="16" t="n">
        <x:f>IF(AND(13&gt;=$D7,13&lt;=$E7),1,0)</x:f>
        <x:v>0</x:v>
      </x:c>
      <x:c r="X7" s="16" t="n">
        <x:f>IF(AND(14&gt;=$D7,14&lt;=$E7),1,0)</x:f>
        <x:v>0</x:v>
      </x:c>
      <x:c r="Y7" s="17" t="n">
        <x:f>IF(AND(15&gt;=$D7,15&lt;=$E7),1,0)</x:f>
        <x:v>0</x:v>
      </x:c>
    </x:row>
    <x:row r="8" ht="21" customHeight="1">
      <x:c r="A8" s="13" t="str">
        <x:v>02</x:v>
      </x:c>
      <x:c r="B8" s="13" t="str">
        <x:v>Descubrimiento</x:v>
      </x:c>
      <x:c r="C8" s="13" t="str">
        <x:v>Limpieza, auditoría y análisis del dataset</x:v>
      </x:c>
      <x:c r="D8" s="13" t="n">
        <x:v>1</x:v>
      </x:c>
      <x:c r="E8" s="13" t="n">
        <x:v>2</x:v>
      </x:c>
      <x:c r="F8" s="13" t="str">
        <x:v>Diseñadora 1</x:v>
      </x:c>
      <x:c r="G8" s="13" t="str">
        <x:v>Datasheet y hallazgos verificables</x:v>
      </x:c>
      <x:c r="H8" s="13" t="n">
        <x:v>6</x:v>
      </x:c>
      <x:c r="I8" s="13" t="n">
        <x:v>3</x:v>
      </x:c>
      <x:c r="J8" s="13" t="n">
        <x:v>2</x:v>
      </x:c>
      <x:c r="K8" s="18" t="n">
        <x:f>IF(AND(1&gt;=$D8,1&lt;=$E8),1,0)</x:f>
        <x:v>1</x:v>
      </x:c>
      <x:c r="L8" s="19" t="n">
        <x:f>IF(AND(2&gt;=$D8,2&lt;=$E8),1,0)</x:f>
        <x:v>1</x:v>
      </x:c>
      <x:c r="M8" s="19" t="n">
        <x:f>IF(AND(3&gt;=$D8,3&lt;=$E8),1,0)</x:f>
        <x:v>0</x:v>
      </x:c>
      <x:c r="N8" s="19" t="n">
        <x:f>IF(AND(4&gt;=$D8,4&lt;=$E8),1,0)</x:f>
        <x:v>0</x:v>
      </x:c>
      <x:c r="O8" s="19" t="n">
        <x:f>IF(AND(5&gt;=$D8,5&lt;=$E8),1,0)</x:f>
        <x:v>0</x:v>
      </x:c>
      <x:c r="P8" s="19" t="n">
        <x:f>IF(AND(6&gt;=$D8,6&lt;=$E8),1,0)</x:f>
        <x:v>0</x:v>
      </x:c>
      <x:c r="Q8" s="19" t="n">
        <x:f>IF(AND(7&gt;=$D8,7&lt;=$E8),1,0)</x:f>
        <x:v>0</x:v>
      </x:c>
      <x:c r="R8" s="19" t="n">
        <x:f>IF(AND(8&gt;=$D8,8&lt;=$E8),1,0)</x:f>
        <x:v>0</x:v>
      </x:c>
      <x:c r="S8" s="19" t="n">
        <x:f>IF(AND(9&gt;=$D8,9&lt;=$E8),1,0)</x:f>
        <x:v>0</x:v>
      </x:c>
      <x:c r="T8" s="19" t="n">
        <x:f>IF(AND(10&gt;=$D8,10&lt;=$E8),1,0)</x:f>
        <x:v>0</x:v>
      </x:c>
      <x:c r="U8" s="19" t="n">
        <x:f>IF(AND(11&gt;=$D8,11&lt;=$E8),1,0)</x:f>
        <x:v>0</x:v>
      </x:c>
      <x:c r="V8" s="19" t="n">
        <x:f>IF(AND(12&gt;=$D8,12&lt;=$E8),1,0)</x:f>
        <x:v>0</x:v>
      </x:c>
      <x:c r="W8" s="19" t="n">
        <x:f>IF(AND(13&gt;=$D8,13&lt;=$E8),1,0)</x:f>
        <x:v>0</x:v>
      </x:c>
      <x:c r="X8" s="19" t="n">
        <x:f>IF(AND(14&gt;=$D8,14&lt;=$E8),1,0)</x:f>
        <x:v>0</x:v>
      </x:c>
      <x:c r="Y8" s="20" t="n">
        <x:f>IF(AND(15&gt;=$D8,15&lt;=$E8),1,0)</x:f>
        <x:v>0</x:v>
      </x:c>
    </x:row>
    <x:row r="9" ht="21" customHeight="1">
      <x:c r="A9" s="13" t="str">
        <x:v>03</x:v>
      </x:c>
      <x:c r="B9" s="13" t="str">
        <x:v>Descubrimiento</x:v>
      </x:c>
      <x:c r="C9" s="13" t="str">
        <x:v>Benchmark y mapa de alternativas</x:v>
      </x:c>
      <x:c r="D9" s="13" t="n">
        <x:v>2</x:v>
      </x:c>
      <x:c r="E9" s="13" t="n">
        <x:v>3</x:v>
      </x:c>
      <x:c r="F9" s="13" t="str">
        <x:v>Diseñadora 2</x:v>
      </x:c>
      <x:c r="G9" s="13" t="str">
        <x:v>Matriz comparativa y diferenciación</x:v>
      </x:c>
      <x:c r="H9" s="13" t="n">
        <x:v>3</x:v>
      </x:c>
      <x:c r="I9" s="13" t="n">
        <x:v>5</x:v>
      </x:c>
      <x:c r="J9" s="13" t="n">
        <x:v>3</x:v>
      </x:c>
      <x:c r="K9" s="18" t="n">
        <x:f>IF(AND(1&gt;=$D9,1&lt;=$E9),1,0)</x:f>
        <x:v>0</x:v>
      </x:c>
      <x:c r="L9" s="19" t="n">
        <x:f>IF(AND(2&gt;=$D9,2&lt;=$E9),1,0)</x:f>
        <x:v>1</x:v>
      </x:c>
      <x:c r="M9" s="19" t="n">
        <x:f>IF(AND(3&gt;=$D9,3&lt;=$E9),1,0)</x:f>
        <x:v>1</x:v>
      </x:c>
      <x:c r="N9" s="19" t="n">
        <x:f>IF(AND(4&gt;=$D9,4&lt;=$E9),1,0)</x:f>
        <x:v>0</x:v>
      </x:c>
      <x:c r="O9" s="19" t="n">
        <x:f>IF(AND(5&gt;=$D9,5&lt;=$E9),1,0)</x:f>
        <x:v>0</x:v>
      </x:c>
      <x:c r="P9" s="19" t="n">
        <x:f>IF(AND(6&gt;=$D9,6&lt;=$E9),1,0)</x:f>
        <x:v>0</x:v>
      </x:c>
      <x:c r="Q9" s="19" t="n">
        <x:f>IF(AND(7&gt;=$D9,7&lt;=$E9),1,0)</x:f>
        <x:v>0</x:v>
      </x:c>
      <x:c r="R9" s="19" t="n">
        <x:f>IF(AND(8&gt;=$D9,8&lt;=$E9),1,0)</x:f>
        <x:v>0</x:v>
      </x:c>
      <x:c r="S9" s="19" t="n">
        <x:f>IF(AND(9&gt;=$D9,9&lt;=$E9),1,0)</x:f>
        <x:v>0</x:v>
      </x:c>
      <x:c r="T9" s="19" t="n">
        <x:f>IF(AND(10&gt;=$D9,10&lt;=$E9),1,0)</x:f>
        <x:v>0</x:v>
      </x:c>
      <x:c r="U9" s="19" t="n">
        <x:f>IF(AND(11&gt;=$D9,11&lt;=$E9),1,0)</x:f>
        <x:v>0</x:v>
      </x:c>
      <x:c r="V9" s="19" t="n">
        <x:f>IF(AND(12&gt;=$D9,12&lt;=$E9),1,0)</x:f>
        <x:v>0</x:v>
      </x:c>
      <x:c r="W9" s="19" t="n">
        <x:f>IF(AND(13&gt;=$D9,13&lt;=$E9),1,0)</x:f>
        <x:v>0</x:v>
      </x:c>
      <x:c r="X9" s="19" t="n">
        <x:f>IF(AND(14&gt;=$D9,14&lt;=$E9),1,0)</x:f>
        <x:v>0</x:v>
      </x:c>
      <x:c r="Y9" s="20" t="n">
        <x:f>IF(AND(15&gt;=$D9,15&lt;=$E9),1,0)</x:f>
        <x:v>0</x:v>
      </x:c>
    </x:row>
    <x:row r="10" ht="21" customHeight="1">
      <x:c r="A10" s="13" t="str">
        <x:v>04</x:v>
      </x:c>
      <x:c r="B10" s="13" t="str">
        <x:v>Descubrimiento</x:v>
      </x:c>
      <x:c r="C10" s="13" t="str">
        <x:v>Segmentación y priorización de escenario inicial</x:v>
      </x:c>
      <x:c r="D10" s="13" t="n">
        <x:v>2</x:v>
      </x:c>
      <x:c r="E10" s="13" t="n">
        <x:v>3</x:v>
      </x:c>
      <x:c r="F10" s="13" t="str">
        <x:v>Diseñadora 1</x:v>
      </x:c>
      <x:c r="G10" s="13" t="str">
        <x:v>Usuario primario y contexto de mesa</x:v>
      </x:c>
      <x:c r="H10" s="13" t="n">
        <x:v>4</x:v>
      </x:c>
      <x:c r="I10" s="13" t="n">
        <x:v>3</x:v>
      </x:c>
      <x:c r="J10" s="13" t="n">
        <x:v>3</x:v>
      </x:c>
      <x:c r="K10" s="18" t="n">
        <x:f>IF(AND(1&gt;=$D10,1&lt;=$E10),1,0)</x:f>
        <x:v>0</x:v>
      </x:c>
      <x:c r="L10" s="19" t="n">
        <x:f>IF(AND(2&gt;=$D10,2&lt;=$E10),1,0)</x:f>
        <x:v>1</x:v>
      </x:c>
      <x:c r="M10" s="19" t="n">
        <x:f>IF(AND(3&gt;=$D10,3&lt;=$E10),1,0)</x:f>
        <x:v>1</x:v>
      </x:c>
      <x:c r="N10" s="19" t="n">
        <x:f>IF(AND(4&gt;=$D10,4&lt;=$E10),1,0)</x:f>
        <x:v>0</x:v>
      </x:c>
      <x:c r="O10" s="19" t="n">
        <x:f>IF(AND(5&gt;=$D10,5&lt;=$E10),1,0)</x:f>
        <x:v>0</x:v>
      </x:c>
      <x:c r="P10" s="19" t="n">
        <x:f>IF(AND(6&gt;=$D10,6&lt;=$E10),1,0)</x:f>
        <x:v>0</x:v>
      </x:c>
      <x:c r="Q10" s="19" t="n">
        <x:f>IF(AND(7&gt;=$D10,7&lt;=$E10),1,0)</x:f>
        <x:v>0</x:v>
      </x:c>
      <x:c r="R10" s="19" t="n">
        <x:f>IF(AND(8&gt;=$D10,8&lt;=$E10),1,0)</x:f>
        <x:v>0</x:v>
      </x:c>
      <x:c r="S10" s="19" t="n">
        <x:f>IF(AND(9&gt;=$D10,9&lt;=$E10),1,0)</x:f>
        <x:v>0</x:v>
      </x:c>
      <x:c r="T10" s="19" t="n">
        <x:f>IF(AND(10&gt;=$D10,10&lt;=$E10),1,0)</x:f>
        <x:v>0</x:v>
      </x:c>
      <x:c r="U10" s="19" t="n">
        <x:f>IF(AND(11&gt;=$D10,11&lt;=$E10),1,0)</x:f>
        <x:v>0</x:v>
      </x:c>
      <x:c r="V10" s="19" t="n">
        <x:f>IF(AND(12&gt;=$D10,12&lt;=$E10),1,0)</x:f>
        <x:v>0</x:v>
      </x:c>
      <x:c r="W10" s="19" t="n">
        <x:f>IF(AND(13&gt;=$D10,13&lt;=$E10),1,0)</x:f>
        <x:v>0</x:v>
      </x:c>
      <x:c r="X10" s="19" t="n">
        <x:f>IF(AND(14&gt;=$D10,14&lt;=$E10),1,0)</x:f>
        <x:v>0</x:v>
      </x:c>
      <x:c r="Y10" s="20" t="n">
        <x:f>IF(AND(15&gt;=$D10,15&lt;=$E10),1,0)</x:f>
        <x:v>0</x:v>
      </x:c>
    </x:row>
    <x:row r="11" ht="21" customHeight="1">
      <x:c r="A11" s="13" t="str">
        <x:v>05</x:v>
      </x:c>
      <x:c r="B11" s="13" t="str">
        <x:v>Descubrimiento</x:v>
      </x:c>
      <x:c r="C11" s="13" t="str">
        <x:v>Hipótesis, métricas y protocolo de validación</x:v>
      </x:c>
      <x:c r="D11" s="13" t="n">
        <x:v>3</x:v>
      </x:c>
      <x:c r="E11" s="13" t="n">
        <x:v>4</x:v>
      </x:c>
      <x:c r="F11" s="13" t="str">
        <x:v>Diseñadora 1</x:v>
      </x:c>
      <x:c r="G11" s="13" t="str">
        <x:v>Hipótesis y protocolo observacional</x:v>
      </x:c>
      <x:c r="H11" s="13" t="n">
        <x:v>5</x:v>
      </x:c>
      <x:c r="I11" s="13" t="n">
        <x:v>2</x:v>
      </x:c>
      <x:c r="J11" s="13" t="n">
        <x:v>3</x:v>
      </x:c>
      <x:c r="K11" s="18" t="n">
        <x:f>IF(AND(1&gt;=$D11,1&lt;=$E11),1,0)</x:f>
        <x:v>0</x:v>
      </x:c>
      <x:c r="L11" s="19" t="n">
        <x:f>IF(AND(2&gt;=$D11,2&lt;=$E11),1,0)</x:f>
        <x:v>0</x:v>
      </x:c>
      <x:c r="M11" s="19" t="n">
        <x:f>IF(AND(3&gt;=$D11,3&lt;=$E11),1,0)</x:f>
        <x:v>1</x:v>
      </x:c>
      <x:c r="N11" s="19" t="n">
        <x:f>IF(AND(4&gt;=$D11,4&lt;=$E11),1,0)</x:f>
        <x:v>1</x:v>
      </x:c>
      <x:c r="O11" s="19" t="n">
        <x:f>IF(AND(5&gt;=$D11,5&lt;=$E11),1,0)</x:f>
        <x:v>0</x:v>
      </x:c>
      <x:c r="P11" s="19" t="n">
        <x:f>IF(AND(6&gt;=$D11,6&lt;=$E11),1,0)</x:f>
        <x:v>0</x:v>
      </x:c>
      <x:c r="Q11" s="19" t="n">
        <x:f>IF(AND(7&gt;=$D11,7&lt;=$E11),1,0)</x:f>
        <x:v>0</x:v>
      </x:c>
      <x:c r="R11" s="19" t="n">
        <x:f>IF(AND(8&gt;=$D11,8&lt;=$E11),1,0)</x:f>
        <x:v>0</x:v>
      </x:c>
      <x:c r="S11" s="19" t="n">
        <x:f>IF(AND(9&gt;=$D11,9&lt;=$E11),1,0)</x:f>
        <x:v>0</x:v>
      </x:c>
      <x:c r="T11" s="19" t="n">
        <x:f>IF(AND(10&gt;=$D11,10&lt;=$E11),1,0)</x:f>
        <x:v>0</x:v>
      </x:c>
      <x:c r="U11" s="19" t="n">
        <x:f>IF(AND(11&gt;=$D11,11&lt;=$E11),1,0)</x:f>
        <x:v>0</x:v>
      </x:c>
      <x:c r="V11" s="19" t="n">
        <x:f>IF(AND(12&gt;=$D11,12&lt;=$E11),1,0)</x:f>
        <x:v>0</x:v>
      </x:c>
      <x:c r="W11" s="19" t="n">
        <x:f>IF(AND(13&gt;=$D11,13&lt;=$E11),1,0)</x:f>
        <x:v>0</x:v>
      </x:c>
      <x:c r="X11" s="19" t="n">
        <x:f>IF(AND(14&gt;=$D11,14&lt;=$E11),1,0)</x:f>
        <x:v>0</x:v>
      </x:c>
      <x:c r="Y11" s="20" t="n">
        <x:f>IF(AND(15&gt;=$D11,15&lt;=$E11),1,0)</x:f>
        <x:v>0</x:v>
      </x:c>
    </x:row>
    <x:row r="12" ht="21" customHeight="1">
      <x:c r="A12" s="13" t="str">
        <x:v>06</x:v>
      </x:c>
      <x:c r="B12" s="13" t="str">
        <x:v>Arquitectura</x:v>
      </x:c>
      <x:c r="C12" s="13" t="str">
        <x:v>Criterios de seguridad, exclusión y consentimiento</x:v>
      </x:c>
      <x:c r="D12" s="13" t="n">
        <x:v>3</x:v>
      </x:c>
      <x:c r="E12" s="13" t="n">
        <x:v>4</x:v>
      </x:c>
      <x:c r="F12" s="13" t="str">
        <x:v>Diseñadora 3</x:v>
      </x:c>
      <x:c r="G12" s="13" t="str">
        <x:v>Política de temas y manejo de menores</x:v>
      </x:c>
      <x:c r="H12" s="13" t="n">
        <x:v>3</x:v>
      </x:c>
      <x:c r="I12" s="13" t="n">
        <x:v>3</x:v>
      </x:c>
      <x:c r="J12" s="13" t="n">
        <x:v>5</x:v>
      </x:c>
      <x:c r="K12" s="18" t="n">
        <x:f>IF(AND(1&gt;=$D12,1&lt;=$E12),1,0)</x:f>
        <x:v>0</x:v>
      </x:c>
      <x:c r="L12" s="19" t="n">
        <x:f>IF(AND(2&gt;=$D12,2&lt;=$E12),1,0)</x:f>
        <x:v>0</x:v>
      </x:c>
      <x:c r="M12" s="19" t="n">
        <x:f>IF(AND(3&gt;=$D12,3&lt;=$E12),1,0)</x:f>
        <x:v>1</x:v>
      </x:c>
      <x:c r="N12" s="19" t="n">
        <x:f>IF(AND(4&gt;=$D12,4&lt;=$E12),1,0)</x:f>
        <x:v>1</x:v>
      </x:c>
      <x:c r="O12" s="19" t="n">
        <x:f>IF(AND(5&gt;=$D12,5&lt;=$E12),1,0)</x:f>
        <x:v>0</x:v>
      </x:c>
      <x:c r="P12" s="19" t="n">
        <x:f>IF(AND(6&gt;=$D12,6&lt;=$E12),1,0)</x:f>
        <x:v>0</x:v>
      </x:c>
      <x:c r="Q12" s="19" t="n">
        <x:f>IF(AND(7&gt;=$D12,7&lt;=$E12),1,0)</x:f>
        <x:v>0</x:v>
      </x:c>
      <x:c r="R12" s="19" t="n">
        <x:f>IF(AND(8&gt;=$D12,8&lt;=$E12),1,0)</x:f>
        <x:v>0</x:v>
      </x:c>
      <x:c r="S12" s="19" t="n">
        <x:f>IF(AND(9&gt;=$D12,9&lt;=$E12),1,0)</x:f>
        <x:v>0</x:v>
      </x:c>
      <x:c r="T12" s="19" t="n">
        <x:f>IF(AND(10&gt;=$D12,10&lt;=$E12),1,0)</x:f>
        <x:v>0</x:v>
      </x:c>
      <x:c r="U12" s="19" t="n">
        <x:f>IF(AND(11&gt;=$D12,11&lt;=$E12),1,0)</x:f>
        <x:v>0</x:v>
      </x:c>
      <x:c r="V12" s="19" t="n">
        <x:f>IF(AND(12&gt;=$D12,12&lt;=$E12),1,0)</x:f>
        <x:v>0</x:v>
      </x:c>
      <x:c r="W12" s="19" t="n">
        <x:f>IF(AND(13&gt;=$D12,13&lt;=$E12),1,0)</x:f>
        <x:v>0</x:v>
      </x:c>
      <x:c r="X12" s="19" t="n">
        <x:f>IF(AND(14&gt;=$D12,14&lt;=$E12),1,0)</x:f>
        <x:v>0</x:v>
      </x:c>
      <x:c r="Y12" s="20" t="n">
        <x:f>IF(AND(15&gt;=$D12,15&lt;=$E12),1,0)</x:f>
        <x:v>0</x:v>
      </x:c>
    </x:row>
    <x:row r="13" ht="21" customHeight="1">
      <x:c r="A13" s="13" t="str">
        <x:v>07</x:v>
      </x:c>
      <x:c r="B13" s="13" t="str">
        <x:v>Arquitectura</x:v>
      </x:c>
      <x:c r="C13" s="13" t="str">
        <x:v>Mapa del journey antes, durante y después de la mesa</x:v>
      </x:c>
      <x:c r="D13" s="13" t="n">
        <x:v>4</x:v>
      </x:c>
      <x:c r="E13" s="13" t="n">
        <x:v>5</x:v>
      </x:c>
      <x:c r="F13" s="13" t="str">
        <x:v>Diseñadora 2</x:v>
      </x:c>
      <x:c r="G13" s="13" t="str">
        <x:v>Journey presencial y puntos de fricción</x:v>
      </x:c>
      <x:c r="H13" s="13" t="n">
        <x:v>3</x:v>
      </x:c>
      <x:c r="I13" s="13" t="n">
        <x:v>5</x:v>
      </x:c>
      <x:c r="J13" s="13" t="n">
        <x:v>3</x:v>
      </x:c>
      <x:c r="K13" s="18" t="n">
        <x:f>IF(AND(1&gt;=$D13,1&lt;=$E13),1,0)</x:f>
        <x:v>0</x:v>
      </x:c>
      <x:c r="L13" s="19" t="n">
        <x:f>IF(AND(2&gt;=$D13,2&lt;=$E13),1,0)</x:f>
        <x:v>0</x:v>
      </x:c>
      <x:c r="M13" s="19" t="n">
        <x:f>IF(AND(3&gt;=$D13,3&lt;=$E13),1,0)</x:f>
        <x:v>0</x:v>
      </x:c>
      <x:c r="N13" s="19" t="n">
        <x:f>IF(AND(4&gt;=$D13,4&lt;=$E13),1,0)</x:f>
        <x:v>1</x:v>
      </x:c>
      <x:c r="O13" s="19" t="n">
        <x:f>IF(AND(5&gt;=$D13,5&lt;=$E13),1,0)</x:f>
        <x:v>1</x:v>
      </x:c>
      <x:c r="P13" s="19" t="n">
        <x:f>IF(AND(6&gt;=$D13,6&lt;=$E13),1,0)</x:f>
        <x:v>0</x:v>
      </x:c>
      <x:c r="Q13" s="19" t="n">
        <x:f>IF(AND(7&gt;=$D13,7&lt;=$E13),1,0)</x:f>
        <x:v>0</x:v>
      </x:c>
      <x:c r="R13" s="19" t="n">
        <x:f>IF(AND(8&gt;=$D13,8&lt;=$E13),1,0)</x:f>
        <x:v>0</x:v>
      </x:c>
      <x:c r="S13" s="19" t="n">
        <x:f>IF(AND(9&gt;=$D13,9&lt;=$E13),1,0)</x:f>
        <x:v>0</x:v>
      </x:c>
      <x:c r="T13" s="19" t="n">
        <x:f>IF(AND(10&gt;=$D13,10&lt;=$E13),1,0)</x:f>
        <x:v>0</x:v>
      </x:c>
      <x:c r="U13" s="19" t="n">
        <x:f>IF(AND(11&gt;=$D13,11&lt;=$E13),1,0)</x:f>
        <x:v>0</x:v>
      </x:c>
      <x:c r="V13" s="19" t="n">
        <x:f>IF(AND(12&gt;=$D13,12&lt;=$E13),1,0)</x:f>
        <x:v>0</x:v>
      </x:c>
      <x:c r="W13" s="19" t="n">
        <x:f>IF(AND(13&gt;=$D13,13&lt;=$E13),1,0)</x:f>
        <x:v>0</x:v>
      </x:c>
      <x:c r="X13" s="19" t="n">
        <x:f>IF(AND(14&gt;=$D13,14&lt;=$E13),1,0)</x:f>
        <x:v>0</x:v>
      </x:c>
      <x:c r="Y13" s="20" t="n">
        <x:f>IF(AND(15&gt;=$D13,15&lt;=$E13),1,0)</x:f>
        <x:v>0</x:v>
      </x:c>
    </x:row>
    <x:row r="14" ht="21" customHeight="1">
      <x:c r="A14" s="13" t="str">
        <x:v>08</x:v>
      </x:c>
      <x:c r="B14" s="13" t="str">
        <x:v>Arquitectura</x:v>
      </x:c>
      <x:c r="C14" s="13" t="str">
        <x:v>System prompt y reglas de clasificación contextual</x:v>
      </x:c>
      <x:c r="D14" s="13" t="n">
        <x:v>4</x:v>
      </x:c>
      <x:c r="E14" s="13" t="n">
        <x:v>6</x:v>
      </x:c>
      <x:c r="F14" s="13" t="str">
        <x:v>Diseñadora 3</x:v>
      </x:c>
      <x:c r="G14" s="13" t="str">
        <x:v>Prompt, reglas y ejemplos curados</x:v>
      </x:c>
      <x:c r="H14" s="13" t="n">
        <x:v>3</x:v>
      </x:c>
      <x:c r="I14" s="13" t="n">
        <x:v>3</x:v>
      </x:c>
      <x:c r="J14" s="13" t="n">
        <x:v>6</x:v>
      </x:c>
      <x:c r="K14" s="18" t="n">
        <x:f>IF(AND(1&gt;=$D14,1&lt;=$E14),1,0)</x:f>
        <x:v>0</x:v>
      </x:c>
      <x:c r="L14" s="19" t="n">
        <x:f>IF(AND(2&gt;=$D14,2&lt;=$E14),1,0)</x:f>
        <x:v>0</x:v>
      </x:c>
      <x:c r="M14" s="19" t="n">
        <x:f>IF(AND(3&gt;=$D14,3&lt;=$E14),1,0)</x:f>
        <x:v>0</x:v>
      </x:c>
      <x:c r="N14" s="19" t="n">
        <x:f>IF(AND(4&gt;=$D14,4&lt;=$E14),1,0)</x:f>
        <x:v>1</x:v>
      </x:c>
      <x:c r="O14" s="19" t="n">
        <x:f>IF(AND(5&gt;=$D14,5&lt;=$E14),1,0)</x:f>
        <x:v>1</x:v>
      </x:c>
      <x:c r="P14" s="19" t="n">
        <x:f>IF(AND(6&gt;=$D14,6&lt;=$E14),1,0)</x:f>
        <x:v>1</x:v>
      </x:c>
      <x:c r="Q14" s="19" t="n">
        <x:f>IF(AND(7&gt;=$D14,7&lt;=$E14),1,0)</x:f>
        <x:v>0</x:v>
      </x:c>
      <x:c r="R14" s="19" t="n">
        <x:f>IF(AND(8&gt;=$D14,8&lt;=$E14),1,0)</x:f>
        <x:v>0</x:v>
      </x:c>
      <x:c r="S14" s="19" t="n">
        <x:f>IF(AND(9&gt;=$D14,9&lt;=$E14),1,0)</x:f>
        <x:v>0</x:v>
      </x:c>
      <x:c r="T14" s="19" t="n">
        <x:f>IF(AND(10&gt;=$D14,10&lt;=$E14),1,0)</x:f>
        <x:v>0</x:v>
      </x:c>
      <x:c r="U14" s="19" t="n">
        <x:f>IF(AND(11&gt;=$D14,11&lt;=$E14),1,0)</x:f>
        <x:v>0</x:v>
      </x:c>
      <x:c r="V14" s="19" t="n">
        <x:f>IF(AND(12&gt;=$D14,12&lt;=$E14),1,0)</x:f>
        <x:v>0</x:v>
      </x:c>
      <x:c r="W14" s="19" t="n">
        <x:f>IF(AND(13&gt;=$D14,13&lt;=$E14),1,0)</x:f>
        <x:v>0</x:v>
      </x:c>
      <x:c r="X14" s="19" t="n">
        <x:f>IF(AND(14&gt;=$D14,14&lt;=$E14),1,0)</x:f>
        <x:v>0</x:v>
      </x:c>
      <x:c r="Y14" s="20" t="n">
        <x:f>IF(AND(15&gt;=$D14,15&lt;=$E14),1,0)</x:f>
        <x:v>0</x:v>
      </x:c>
    </x:row>
    <x:row r="15" ht="21" customHeight="1">
      <x:c r="A15" s="13" t="str">
        <x:v>09</x:v>
      </x:c>
      <x:c r="B15" s="13" t="str">
        <x:v>Arquitectura</x:v>
      </x:c>
      <x:c r="C15" s="13" t="str">
        <x:v>Arquitectura de información y flujo MVP</x:v>
      </x:c>
      <x:c r="D15" s="13" t="n">
        <x:v>5</x:v>
      </x:c>
      <x:c r="E15" s="13" t="n">
        <x:v>6</x:v>
      </x:c>
      <x:c r="F15" s="13" t="str">
        <x:v>Diseñadora 2</x:v>
      </x:c>
      <x:c r="G15" s="13" t="str">
        <x:v>Mapa de pantallas y flujo principal</x:v>
      </x:c>
      <x:c r="H15" s="13" t="n">
        <x:v>4</x:v>
      </x:c>
      <x:c r="I15" s="13" t="n">
        <x:v>5</x:v>
      </x:c>
      <x:c r="J15" s="13" t="n">
        <x:v>2</x:v>
      </x:c>
      <x:c r="K15" s="18" t="n">
        <x:f>IF(AND(1&gt;=$D15,1&lt;=$E15),1,0)</x:f>
        <x:v>0</x:v>
      </x:c>
      <x:c r="L15" s="19" t="n">
        <x:f>IF(AND(2&gt;=$D15,2&lt;=$E15),1,0)</x:f>
        <x:v>0</x:v>
      </x:c>
      <x:c r="M15" s="19" t="n">
        <x:f>IF(AND(3&gt;=$D15,3&lt;=$E15),1,0)</x:f>
        <x:v>0</x:v>
      </x:c>
      <x:c r="N15" s="19" t="n">
        <x:f>IF(AND(4&gt;=$D15,4&lt;=$E15),1,0)</x:f>
        <x:v>0</x:v>
      </x:c>
      <x:c r="O15" s="19" t="n">
        <x:f>IF(AND(5&gt;=$D15,5&lt;=$E15),1,0)</x:f>
        <x:v>1</x:v>
      </x:c>
      <x:c r="P15" s="19" t="n">
        <x:f>IF(AND(6&gt;=$D15,6&lt;=$E15),1,0)</x:f>
        <x:v>1</x:v>
      </x:c>
      <x:c r="Q15" s="19" t="n">
        <x:f>IF(AND(7&gt;=$D15,7&lt;=$E15),1,0)</x:f>
        <x:v>0</x:v>
      </x:c>
      <x:c r="R15" s="19" t="n">
        <x:f>IF(AND(8&gt;=$D15,8&lt;=$E15),1,0)</x:f>
        <x:v>0</x:v>
      </x:c>
      <x:c r="S15" s="19" t="n">
        <x:f>IF(AND(9&gt;=$D15,9&lt;=$E15),1,0)</x:f>
        <x:v>0</x:v>
      </x:c>
      <x:c r="T15" s="19" t="n">
        <x:f>IF(AND(10&gt;=$D15,10&lt;=$E15),1,0)</x:f>
        <x:v>0</x:v>
      </x:c>
      <x:c r="U15" s="19" t="n">
        <x:f>IF(AND(11&gt;=$D15,11&lt;=$E15),1,0)</x:f>
        <x:v>0</x:v>
      </x:c>
      <x:c r="V15" s="19" t="n">
        <x:f>IF(AND(12&gt;=$D15,12&lt;=$E15),1,0)</x:f>
        <x:v>0</x:v>
      </x:c>
      <x:c r="W15" s="19" t="n">
        <x:f>IF(AND(13&gt;=$D15,13&lt;=$E15),1,0)</x:f>
        <x:v>0</x:v>
      </x:c>
      <x:c r="X15" s="19" t="n">
        <x:f>IF(AND(14&gt;=$D15,14&lt;=$E15),1,0)</x:f>
        <x:v>0</x:v>
      </x:c>
      <x:c r="Y15" s="20" t="n">
        <x:f>IF(AND(15&gt;=$D15,15&lt;=$E15),1,0)</x:f>
        <x:v>0</x:v>
      </x:c>
    </x:row>
    <x:row r="16" ht="21" customHeight="1">
      <x:c r="A16" s="13" t="str">
        <x:v>10</x:v>
      </x:c>
      <x:c r="B16" s="13" t="str">
        <x:v>Contenido</x:v>
      </x:c>
      <x:c r="C16" s="13" t="str">
        <x:v>Taxonomía temática y niveles de profundidad</x:v>
      </x:c>
      <x:c r="D16" s="13" t="n">
        <x:v>5</x:v>
      </x:c>
      <x:c r="E16" s="13" t="n">
        <x:v>7</x:v>
      </x:c>
      <x:c r="F16" s="13" t="str">
        <x:v>Diseñadora 3</x:v>
      </x:c>
      <x:c r="G16" s="13" t="str">
        <x:v>Matriz de temas, vínculo y edad</x:v>
      </x:c>
      <x:c r="H16" s="13" t="n">
        <x:v>3</x:v>
      </x:c>
      <x:c r="I16" s="13" t="n">
        <x:v>3</x:v>
      </x:c>
      <x:c r="J16" s="13" t="n">
        <x:v>6</x:v>
      </x:c>
      <x:c r="K16" s="18" t="n">
        <x:f>IF(AND(1&gt;=$D16,1&lt;=$E16),1,0)</x:f>
        <x:v>0</x:v>
      </x:c>
      <x:c r="L16" s="19" t="n">
        <x:f>IF(AND(2&gt;=$D16,2&lt;=$E16),1,0)</x:f>
        <x:v>0</x:v>
      </x:c>
      <x:c r="M16" s="19" t="n">
        <x:f>IF(AND(3&gt;=$D16,3&lt;=$E16),1,0)</x:f>
        <x:v>0</x:v>
      </x:c>
      <x:c r="N16" s="19" t="n">
        <x:f>IF(AND(4&gt;=$D16,4&lt;=$E16),1,0)</x:f>
        <x:v>0</x:v>
      </x:c>
      <x:c r="O16" s="19" t="n">
        <x:f>IF(AND(5&gt;=$D16,5&lt;=$E16),1,0)</x:f>
        <x:v>1</x:v>
      </x:c>
      <x:c r="P16" s="19" t="n">
        <x:f>IF(AND(6&gt;=$D16,6&lt;=$E16),1,0)</x:f>
        <x:v>1</x:v>
      </x:c>
      <x:c r="Q16" s="19" t="n">
        <x:f>IF(AND(7&gt;=$D16,7&lt;=$E16),1,0)</x:f>
        <x:v>1</x:v>
      </x:c>
      <x:c r="R16" s="19" t="n">
        <x:f>IF(AND(8&gt;=$D16,8&lt;=$E16),1,0)</x:f>
        <x:v>0</x:v>
      </x:c>
      <x:c r="S16" s="19" t="n">
        <x:f>IF(AND(9&gt;=$D16,9&lt;=$E16),1,0)</x:f>
        <x:v>0</x:v>
      </x:c>
      <x:c r="T16" s="19" t="n">
        <x:f>IF(AND(10&gt;=$D16,10&lt;=$E16),1,0)</x:f>
        <x:v>0</x:v>
      </x:c>
      <x:c r="U16" s="19" t="n">
        <x:f>IF(AND(11&gt;=$D16,11&lt;=$E16),1,0)</x:f>
        <x:v>0</x:v>
      </x:c>
      <x:c r="V16" s="19" t="n">
        <x:f>IF(AND(12&gt;=$D16,12&lt;=$E16),1,0)</x:f>
        <x:v>0</x:v>
      </x:c>
      <x:c r="W16" s="19" t="n">
        <x:f>IF(AND(13&gt;=$D16,13&lt;=$E16),1,0)</x:f>
        <x:v>0</x:v>
      </x:c>
      <x:c r="X16" s="19" t="n">
        <x:f>IF(AND(14&gt;=$D16,14&lt;=$E16),1,0)</x:f>
        <x:v>0</x:v>
      </x:c>
      <x:c r="Y16" s="20" t="n">
        <x:f>IF(AND(15&gt;=$D16,15&lt;=$E16),1,0)</x:f>
        <x:v>0</x:v>
      </x:c>
    </x:row>
    <x:row r="17" ht="21" customHeight="1">
      <x:c r="A17" s="13" t="str">
        <x:v>11</x:v>
      </x:c>
      <x:c r="B17" s="13" t="str">
        <x:v>Contenido</x:v>
      </x:c>
      <x:c r="C17" s="13" t="str">
        <x:v>Biblioteca curada inicial de detonadores</x:v>
      </x:c>
      <x:c r="D17" s="13" t="n">
        <x:v>6</x:v>
      </x:c>
      <x:c r="E17" s="13" t="n">
        <x:v>8</x:v>
      </x:c>
      <x:c r="F17" s="13" t="str">
        <x:v>Diseñadora 3</x:v>
      </x:c>
      <x:c r="G17" s="13" t="str">
        <x:v>Banco inicial y variantes seguras</x:v>
      </x:c>
      <x:c r="H17" s="13" t="n">
        <x:v>2</x:v>
      </x:c>
      <x:c r="I17" s="13" t="n">
        <x:v>4</x:v>
      </x:c>
      <x:c r="J17" s="13" t="n">
        <x:v>7</x:v>
      </x:c>
      <x:c r="K17" s="18" t="n">
        <x:f>IF(AND(1&gt;=$D17,1&lt;=$E17),1,0)</x:f>
        <x:v>0</x:v>
      </x:c>
      <x:c r="L17" s="19" t="n">
        <x:f>IF(AND(2&gt;=$D17,2&lt;=$E17),1,0)</x:f>
        <x:v>0</x:v>
      </x:c>
      <x:c r="M17" s="19" t="n">
        <x:f>IF(AND(3&gt;=$D17,3&lt;=$E17),1,0)</x:f>
        <x:v>0</x:v>
      </x:c>
      <x:c r="N17" s="19" t="n">
        <x:f>IF(AND(4&gt;=$D17,4&lt;=$E17),1,0)</x:f>
        <x:v>0</x:v>
      </x:c>
      <x:c r="O17" s="19" t="n">
        <x:f>IF(AND(5&gt;=$D17,5&lt;=$E17),1,0)</x:f>
        <x:v>0</x:v>
      </x:c>
      <x:c r="P17" s="19" t="n">
        <x:f>IF(AND(6&gt;=$D17,6&lt;=$E17),1,0)</x:f>
        <x:v>1</x:v>
      </x:c>
      <x:c r="Q17" s="19" t="n">
        <x:f>IF(AND(7&gt;=$D17,7&lt;=$E17),1,0)</x:f>
        <x:v>1</x:v>
      </x:c>
      <x:c r="R17" s="19" t="n">
        <x:f>IF(AND(8&gt;=$D17,8&lt;=$E17),1,0)</x:f>
        <x:v>1</x:v>
      </x:c>
      <x:c r="S17" s="19" t="n">
        <x:f>IF(AND(9&gt;=$D17,9&lt;=$E17),1,0)</x:f>
        <x:v>0</x:v>
      </x:c>
      <x:c r="T17" s="19" t="n">
        <x:f>IF(AND(10&gt;=$D17,10&lt;=$E17),1,0)</x:f>
        <x:v>0</x:v>
      </x:c>
      <x:c r="U17" s="19" t="n">
        <x:f>IF(AND(11&gt;=$D17,11&lt;=$E17),1,0)</x:f>
        <x:v>0</x:v>
      </x:c>
      <x:c r="V17" s="19" t="n">
        <x:f>IF(AND(12&gt;=$D17,12&lt;=$E17),1,0)</x:f>
        <x:v>0</x:v>
      </x:c>
      <x:c r="W17" s="19" t="n">
        <x:f>IF(AND(13&gt;=$D17,13&lt;=$E17),1,0)</x:f>
        <x:v>0</x:v>
      </x:c>
      <x:c r="X17" s="19" t="n">
        <x:f>IF(AND(14&gt;=$D17,14&lt;=$E17),1,0)</x:f>
        <x:v>0</x:v>
      </x:c>
      <x:c r="Y17" s="20" t="n">
        <x:f>IF(AND(15&gt;=$D17,15&lt;=$E17),1,0)</x:f>
        <x:v>0</x:v>
      </x:c>
    </x:row>
    <x:row r="18" ht="21" customHeight="1">
      <x:c r="A18" s="13" t="str">
        <x:v>12</x:v>
      </x:c>
      <x:c r="B18" s="13" t="str">
        <x:v>Diseño UX/UI</x:v>
      </x:c>
      <x:c r="C18" s="13" t="str">
        <x:v>Wireframes mobile-first y modo mesa compartida</x:v>
      </x:c>
      <x:c r="D18" s="13" t="n">
        <x:v>6</x:v>
      </x:c>
      <x:c r="E18" s="13" t="n">
        <x:v>8</x:v>
      </x:c>
      <x:c r="F18" s="13" t="str">
        <x:v>Diseñadora 2</x:v>
      </x:c>
      <x:c r="G18" s="13" t="str">
        <x:v>Wireframes del recorrido prioritario</x:v>
      </x:c>
      <x:c r="H18" s="13" t="n">
        <x:v>3</x:v>
      </x:c>
      <x:c r="I18" s="13" t="n">
        <x:v>8</x:v>
      </x:c>
      <x:c r="J18" s="13" t="n">
        <x:v>3</x:v>
      </x:c>
      <x:c r="K18" s="18" t="n">
        <x:f>IF(AND(1&gt;=$D18,1&lt;=$E18),1,0)</x:f>
        <x:v>0</x:v>
      </x:c>
      <x:c r="L18" s="19" t="n">
        <x:f>IF(AND(2&gt;=$D18,2&lt;=$E18),1,0)</x:f>
        <x:v>0</x:v>
      </x:c>
      <x:c r="M18" s="19" t="n">
        <x:f>IF(AND(3&gt;=$D18,3&lt;=$E18),1,0)</x:f>
        <x:v>0</x:v>
      </x:c>
      <x:c r="N18" s="19" t="n">
        <x:f>IF(AND(4&gt;=$D18,4&lt;=$E18),1,0)</x:f>
        <x:v>0</x:v>
      </x:c>
      <x:c r="O18" s="19" t="n">
        <x:f>IF(AND(5&gt;=$D18,5&lt;=$E18),1,0)</x:f>
        <x:v>0</x:v>
      </x:c>
      <x:c r="P18" s="19" t="n">
        <x:f>IF(AND(6&gt;=$D18,6&lt;=$E18),1,0)</x:f>
        <x:v>1</x:v>
      </x:c>
      <x:c r="Q18" s="19" t="n">
        <x:f>IF(AND(7&gt;=$D18,7&lt;=$E18),1,0)</x:f>
        <x:v>1</x:v>
      </x:c>
      <x:c r="R18" s="19" t="n">
        <x:f>IF(AND(8&gt;=$D18,8&lt;=$E18),1,0)</x:f>
        <x:v>1</x:v>
      </x:c>
      <x:c r="S18" s="19" t="n">
        <x:f>IF(AND(9&gt;=$D18,9&lt;=$E18),1,0)</x:f>
        <x:v>0</x:v>
      </x:c>
      <x:c r="T18" s="19" t="n">
        <x:f>IF(AND(10&gt;=$D18,10&lt;=$E18),1,0)</x:f>
        <x:v>0</x:v>
      </x:c>
      <x:c r="U18" s="19" t="n">
        <x:f>IF(AND(11&gt;=$D18,11&lt;=$E18),1,0)</x:f>
        <x:v>0</x:v>
      </x:c>
      <x:c r="V18" s="19" t="n">
        <x:f>IF(AND(12&gt;=$D18,12&lt;=$E18),1,0)</x:f>
        <x:v>0</x:v>
      </x:c>
      <x:c r="W18" s="19" t="n">
        <x:f>IF(AND(13&gt;=$D18,13&lt;=$E18),1,0)</x:f>
        <x:v>0</x:v>
      </x:c>
      <x:c r="X18" s="19" t="n">
        <x:f>IF(AND(14&gt;=$D18,14&lt;=$E18),1,0)</x:f>
        <x:v>0</x:v>
      </x:c>
      <x:c r="Y18" s="20" t="n">
        <x:f>IF(AND(15&gt;=$D18,15&lt;=$E18),1,0)</x:f>
        <x:v>0</x:v>
      </x:c>
    </x:row>
    <x:row r="19" ht="21" customHeight="1">
      <x:c r="A19" s="13" t="str">
        <x:v>13</x:v>
      </x:c>
      <x:c r="B19" s="13" t="str">
        <x:v>Diseño UX/UI</x:v>
      </x:c>
      <x:c r="C19" s="13" t="str">
        <x:v>Sistema visual accesible y baja estimulación</x:v>
      </x:c>
      <x:c r="D19" s="13" t="n">
        <x:v>7</x:v>
      </x:c>
      <x:c r="E19" s="13" t="n">
        <x:v>9</x:v>
      </x:c>
      <x:c r="F19" s="13" t="str">
        <x:v>Diseñadora 2</x:v>
      </x:c>
      <x:c r="G19" s="13" t="str">
        <x:v>Color, tipografía y componentes</x:v>
      </x:c>
      <x:c r="H19" s="13" t="n">
        <x:v>2</x:v>
      </x:c>
      <x:c r="I19" s="13" t="n">
        <x:v>8</x:v>
      </x:c>
      <x:c r="J19" s="13" t="n">
        <x:v>4</x:v>
      </x:c>
      <x:c r="K19" s="18" t="n">
        <x:f>IF(AND(1&gt;=$D19,1&lt;=$E19),1,0)</x:f>
        <x:v>0</x:v>
      </x:c>
      <x:c r="L19" s="19" t="n">
        <x:f>IF(AND(2&gt;=$D19,2&lt;=$E19),1,0)</x:f>
        <x:v>0</x:v>
      </x:c>
      <x:c r="M19" s="19" t="n">
        <x:f>IF(AND(3&gt;=$D19,3&lt;=$E19),1,0)</x:f>
        <x:v>0</x:v>
      </x:c>
      <x:c r="N19" s="19" t="n">
        <x:f>IF(AND(4&gt;=$D19,4&lt;=$E19),1,0)</x:f>
        <x:v>0</x:v>
      </x:c>
      <x:c r="O19" s="19" t="n">
        <x:f>IF(AND(5&gt;=$D19,5&lt;=$E19),1,0)</x:f>
        <x:v>0</x:v>
      </x:c>
      <x:c r="P19" s="19" t="n">
        <x:f>IF(AND(6&gt;=$D19,6&lt;=$E19),1,0)</x:f>
        <x:v>0</x:v>
      </x:c>
      <x:c r="Q19" s="19" t="n">
        <x:f>IF(AND(7&gt;=$D19,7&lt;=$E19),1,0)</x:f>
        <x:v>1</x:v>
      </x:c>
      <x:c r="R19" s="19" t="n">
        <x:f>IF(AND(8&gt;=$D19,8&lt;=$E19),1,0)</x:f>
        <x:v>1</x:v>
      </x:c>
      <x:c r="S19" s="19" t="n">
        <x:f>IF(AND(9&gt;=$D19,9&lt;=$E19),1,0)</x:f>
        <x:v>1</x:v>
      </x:c>
      <x:c r="T19" s="19" t="n">
        <x:f>IF(AND(10&gt;=$D19,10&lt;=$E19),1,0)</x:f>
        <x:v>0</x:v>
      </x:c>
      <x:c r="U19" s="19" t="n">
        <x:f>IF(AND(11&gt;=$D19,11&lt;=$E19),1,0)</x:f>
        <x:v>0</x:v>
      </x:c>
      <x:c r="V19" s="19" t="n">
        <x:f>IF(AND(12&gt;=$D19,12&lt;=$E19),1,0)</x:f>
        <x:v>0</x:v>
      </x:c>
      <x:c r="W19" s="19" t="n">
        <x:f>IF(AND(13&gt;=$D19,13&lt;=$E19),1,0)</x:f>
        <x:v>0</x:v>
      </x:c>
      <x:c r="X19" s="19" t="n">
        <x:f>IF(AND(14&gt;=$D19,14&lt;=$E19),1,0)</x:f>
        <x:v>0</x:v>
      </x:c>
      <x:c r="Y19" s="20" t="n">
        <x:f>IF(AND(15&gt;=$D19,15&lt;=$E19),1,0)</x:f>
        <x:v>0</x:v>
      </x:c>
    </x:row>
    <x:row r="20" ht="21" customHeight="1">
      <x:c r="A20" s="13" t="str">
        <x:v>14</x:v>
      </x:c>
      <x:c r="B20" s="13" t="str">
        <x:v>Diseño UX/UI</x:v>
      </x:c>
      <x:c r="C20" s="13" t="str">
        <x:v>Prototipo navegable de alta fidelidad</x:v>
      </x:c>
      <x:c r="D20" s="13" t="n">
        <x:v>8</x:v>
      </x:c>
      <x:c r="E20" s="13" t="n">
        <x:v>11</x:v>
      </x:c>
      <x:c r="F20" s="13" t="str">
        <x:v>Diseñadora 2</x:v>
      </x:c>
      <x:c r="G20" s="13" t="str">
        <x:v>Prototipo de inicio, sesión y cierre</x:v>
      </x:c>
      <x:c r="H20" s="13" t="n">
        <x:v>4</x:v>
      </x:c>
      <x:c r="I20" s="13" t="n">
        <x:v>9</x:v>
      </x:c>
      <x:c r="J20" s="13" t="n">
        <x:v>5</x:v>
      </x:c>
      <x:c r="K20" s="18" t="n">
        <x:f>IF(AND(1&gt;=$D20,1&lt;=$E20),1,0)</x:f>
        <x:v>0</x:v>
      </x:c>
      <x:c r="L20" s="19" t="n">
        <x:f>IF(AND(2&gt;=$D20,2&lt;=$E20),1,0)</x:f>
        <x:v>0</x:v>
      </x:c>
      <x:c r="M20" s="19" t="n">
        <x:f>IF(AND(3&gt;=$D20,3&lt;=$E20),1,0)</x:f>
        <x:v>0</x:v>
      </x:c>
      <x:c r="N20" s="19" t="n">
        <x:f>IF(AND(4&gt;=$D20,4&lt;=$E20),1,0)</x:f>
        <x:v>0</x:v>
      </x:c>
      <x:c r="O20" s="19" t="n">
        <x:f>IF(AND(5&gt;=$D20,5&lt;=$E20),1,0)</x:f>
        <x:v>0</x:v>
      </x:c>
      <x:c r="P20" s="19" t="n">
        <x:f>IF(AND(6&gt;=$D20,6&lt;=$E20),1,0)</x:f>
        <x:v>0</x:v>
      </x:c>
      <x:c r="Q20" s="19" t="n">
        <x:f>IF(AND(7&gt;=$D20,7&lt;=$E20),1,0)</x:f>
        <x:v>0</x:v>
      </x:c>
      <x:c r="R20" s="19" t="n">
        <x:f>IF(AND(8&gt;=$D20,8&lt;=$E20),1,0)</x:f>
        <x:v>1</x:v>
      </x:c>
      <x:c r="S20" s="19" t="n">
        <x:f>IF(AND(9&gt;=$D20,9&lt;=$E20),1,0)</x:f>
        <x:v>1</x:v>
      </x:c>
      <x:c r="T20" s="19" t="n">
        <x:f>IF(AND(10&gt;=$D20,10&lt;=$E20),1,0)</x:f>
        <x:v>1</x:v>
      </x:c>
      <x:c r="U20" s="19" t="n">
        <x:f>IF(AND(11&gt;=$D20,11&lt;=$E20),1,0)</x:f>
        <x:v>1</x:v>
      </x:c>
      <x:c r="V20" s="19" t="n">
        <x:f>IF(AND(12&gt;=$D20,12&lt;=$E20),1,0)</x:f>
        <x:v>0</x:v>
      </x:c>
      <x:c r="W20" s="19" t="n">
        <x:f>IF(AND(13&gt;=$D20,13&lt;=$E20),1,0)</x:f>
        <x:v>0</x:v>
      </x:c>
      <x:c r="X20" s="19" t="n">
        <x:f>IF(AND(14&gt;=$D20,14&lt;=$E20),1,0)</x:f>
        <x:v>0</x:v>
      </x:c>
      <x:c r="Y20" s="20" t="n">
        <x:f>IF(AND(15&gt;=$D20,15&lt;=$E20),1,0)</x:f>
        <x:v>0</x:v>
      </x:c>
    </x:row>
    <x:row r="21" ht="21" customHeight="1">
      <x:c r="A21" s="13" t="str">
        <x:v>15</x:v>
      </x:c>
      <x:c r="B21" s="13" t="str">
        <x:v>IA y factibilidad</x:v>
      </x:c>
      <x:c r="C21" s="13" t="str">
        <x:v>Arquitectura conceptual del agente y fallback</x:v>
      </x:c>
      <x:c r="D21" s="13" t="n">
        <x:v>8</x:v>
      </x:c>
      <x:c r="E21" s="13" t="n">
        <x:v>10</x:v>
      </x:c>
      <x:c r="F21" s="13" t="str">
        <x:v>Diseñadora 1</x:v>
      </x:c>
      <x:c r="G21" s="13" t="str">
        <x:v>Diagrama lógico y fallback sin IA</x:v>
      </x:c>
      <x:c r="H21" s="13" t="n">
        <x:v>5</x:v>
      </x:c>
      <x:c r="I21" s="13" t="n">
        <x:v>2</x:v>
      </x:c>
      <x:c r="J21" s="13" t="n">
        <x:v>5</x:v>
      </x:c>
      <x:c r="K21" s="18" t="n">
        <x:f>IF(AND(1&gt;=$D21,1&lt;=$E21),1,0)</x:f>
        <x:v>0</x:v>
      </x:c>
      <x:c r="L21" s="19" t="n">
        <x:f>IF(AND(2&gt;=$D21,2&lt;=$E21),1,0)</x:f>
        <x:v>0</x:v>
      </x:c>
      <x:c r="M21" s="19" t="n">
        <x:f>IF(AND(3&gt;=$D21,3&lt;=$E21),1,0)</x:f>
        <x:v>0</x:v>
      </x:c>
      <x:c r="N21" s="19" t="n">
        <x:f>IF(AND(4&gt;=$D21,4&lt;=$E21),1,0)</x:f>
        <x:v>0</x:v>
      </x:c>
      <x:c r="O21" s="19" t="n">
        <x:f>IF(AND(5&gt;=$D21,5&lt;=$E21),1,0)</x:f>
        <x:v>0</x:v>
      </x:c>
      <x:c r="P21" s="19" t="n">
        <x:f>IF(AND(6&gt;=$D21,6&lt;=$E21),1,0)</x:f>
        <x:v>0</x:v>
      </x:c>
      <x:c r="Q21" s="19" t="n">
        <x:f>IF(AND(7&gt;=$D21,7&lt;=$E21),1,0)</x:f>
        <x:v>0</x:v>
      </x:c>
      <x:c r="R21" s="19" t="n">
        <x:f>IF(AND(8&gt;=$D21,8&lt;=$E21),1,0)</x:f>
        <x:v>1</x:v>
      </x:c>
      <x:c r="S21" s="19" t="n">
        <x:f>IF(AND(9&gt;=$D21,9&lt;=$E21),1,0)</x:f>
        <x:v>1</x:v>
      </x:c>
      <x:c r="T21" s="19" t="n">
        <x:f>IF(AND(10&gt;=$D21,10&lt;=$E21),1,0)</x:f>
        <x:v>1</x:v>
      </x:c>
      <x:c r="U21" s="19" t="n">
        <x:f>IF(AND(11&gt;=$D21,11&lt;=$E21),1,0)</x:f>
        <x:v>0</x:v>
      </x:c>
      <x:c r="V21" s="19" t="n">
        <x:f>IF(AND(12&gt;=$D21,12&lt;=$E21),1,0)</x:f>
        <x:v>0</x:v>
      </x:c>
      <x:c r="W21" s="19" t="n">
        <x:f>IF(AND(13&gt;=$D21,13&lt;=$E21),1,0)</x:f>
        <x:v>0</x:v>
      </x:c>
      <x:c r="X21" s="19" t="n">
        <x:f>IF(AND(14&gt;=$D21,14&lt;=$E21),1,0)</x:f>
        <x:v>0</x:v>
      </x:c>
      <x:c r="Y21" s="20" t="n">
        <x:f>IF(AND(15&gt;=$D21,15&lt;=$E21),1,0)</x:f>
        <x:v>0</x:v>
      </x:c>
    </x:row>
    <x:row r="22" ht="21" customHeight="1">
      <x:c r="A22" s="13" t="str">
        <x:v>16</x:v>
      </x:c>
      <x:c r="B22" s="13" t="str">
        <x:v>IA y factibilidad</x:v>
      </x:c>
      <x:c r="C22" s="13" t="str">
        <x:v>Casos de uso y escenarios de fallo / abuso</x:v>
      </x:c>
      <x:c r="D22" s="13" t="n">
        <x:v>9</x:v>
      </x:c>
      <x:c r="E22" s="13" t="n">
        <x:v>10</x:v>
      </x:c>
      <x:c r="F22" s="13" t="str">
        <x:v>Diseñadora 3</x:v>
      </x:c>
      <x:c r="G22" s="13" t="str">
        <x:v>Matriz de casos y respuestas seguras</x:v>
      </x:c>
      <x:c r="H22" s="13" t="n">
        <x:v>4</x:v>
      </x:c>
      <x:c r="I22" s="13" t="n">
        <x:v>2</x:v>
      </x:c>
      <x:c r="J22" s="13" t="n">
        <x:v>5</x:v>
      </x:c>
      <x:c r="K22" s="18" t="n">
        <x:f>IF(AND(1&gt;=$D22,1&lt;=$E22),1,0)</x:f>
        <x:v>0</x:v>
      </x:c>
      <x:c r="L22" s="19" t="n">
        <x:f>IF(AND(2&gt;=$D22,2&lt;=$E22),1,0)</x:f>
        <x:v>0</x:v>
      </x:c>
      <x:c r="M22" s="19" t="n">
        <x:f>IF(AND(3&gt;=$D22,3&lt;=$E22),1,0)</x:f>
        <x:v>0</x:v>
      </x:c>
      <x:c r="N22" s="19" t="n">
        <x:f>IF(AND(4&gt;=$D22,4&lt;=$E22),1,0)</x:f>
        <x:v>0</x:v>
      </x:c>
      <x:c r="O22" s="19" t="n">
        <x:f>IF(AND(5&gt;=$D22,5&lt;=$E22),1,0)</x:f>
        <x:v>0</x:v>
      </x:c>
      <x:c r="P22" s="19" t="n">
        <x:f>IF(AND(6&gt;=$D22,6&lt;=$E22),1,0)</x:f>
        <x:v>0</x:v>
      </x:c>
      <x:c r="Q22" s="19" t="n">
        <x:f>IF(AND(7&gt;=$D22,7&lt;=$E22),1,0)</x:f>
        <x:v>0</x:v>
      </x:c>
      <x:c r="R22" s="19" t="n">
        <x:f>IF(AND(8&gt;=$D22,8&lt;=$E22),1,0)</x:f>
        <x:v>0</x:v>
      </x:c>
      <x:c r="S22" s="19" t="n">
        <x:f>IF(AND(9&gt;=$D22,9&lt;=$E22),1,0)</x:f>
        <x:v>1</x:v>
      </x:c>
      <x:c r="T22" s="19" t="n">
        <x:f>IF(AND(10&gt;=$D22,10&lt;=$E22),1,0)</x:f>
        <x:v>1</x:v>
      </x:c>
      <x:c r="U22" s="19" t="n">
        <x:f>IF(AND(11&gt;=$D22,11&lt;=$E22),1,0)</x:f>
        <x:v>0</x:v>
      </x:c>
      <x:c r="V22" s="19" t="n">
        <x:f>IF(AND(12&gt;=$D22,12&lt;=$E22),1,0)</x:f>
        <x:v>0</x:v>
      </x:c>
      <x:c r="W22" s="19" t="n">
        <x:f>IF(AND(13&gt;=$D22,13&lt;=$E22),1,0)</x:f>
        <x:v>0</x:v>
      </x:c>
      <x:c r="X22" s="19" t="n">
        <x:f>IF(AND(14&gt;=$D22,14&lt;=$E22),1,0)</x:f>
        <x:v>0</x:v>
      </x:c>
      <x:c r="Y22" s="20" t="n">
        <x:f>IF(AND(15&gt;=$D22,15&lt;=$E22),1,0)</x:f>
        <x:v>0</x:v>
      </x:c>
    </x:row>
    <x:row r="23" ht="21" customHeight="1">
      <x:c r="A23" s="13" t="str">
        <x:v>17</x:v>
      </x:c>
      <x:c r="B23" s="13" t="str">
        <x:v>Validación</x:v>
      </x:c>
      <x:c r="C23" s="13" t="str">
        <x:v>Preparación de test contextual y reclutamiento</x:v>
      </x:c>
      <x:c r="D23" s="13" t="n">
        <x:v>10</x:v>
      </x:c>
      <x:c r="E23" s="13" t="n">
        <x:v>11</x:v>
      </x:c>
      <x:c r="F23" s="13" t="str">
        <x:v>Diseñadora 1</x:v>
      </x:c>
      <x:c r="G23" s="13" t="str">
        <x:v>Guion, consentimiento y escenarios</x:v>
      </x:c>
      <x:c r="H23" s="13" t="n">
        <x:v>5</x:v>
      </x:c>
      <x:c r="I23" s="13" t="n">
        <x:v>3</x:v>
      </x:c>
      <x:c r="J23" s="13" t="n">
        <x:v>3</x:v>
      </x:c>
      <x:c r="K23" s="18" t="n">
        <x:f>IF(AND(1&gt;=$D23,1&lt;=$E23),1,0)</x:f>
        <x:v>0</x:v>
      </x:c>
      <x:c r="L23" s="19" t="n">
        <x:f>IF(AND(2&gt;=$D23,2&lt;=$E23),1,0)</x:f>
        <x:v>0</x:v>
      </x:c>
      <x:c r="M23" s="19" t="n">
        <x:f>IF(AND(3&gt;=$D23,3&lt;=$E23),1,0)</x:f>
        <x:v>0</x:v>
      </x:c>
      <x:c r="N23" s="19" t="n">
        <x:f>IF(AND(4&gt;=$D23,4&lt;=$E23),1,0)</x:f>
        <x:v>0</x:v>
      </x:c>
      <x:c r="O23" s="19" t="n">
        <x:f>IF(AND(5&gt;=$D23,5&lt;=$E23),1,0)</x:f>
        <x:v>0</x:v>
      </x:c>
      <x:c r="P23" s="19" t="n">
        <x:f>IF(AND(6&gt;=$D23,6&lt;=$E23),1,0)</x:f>
        <x:v>0</x:v>
      </x:c>
      <x:c r="Q23" s="19" t="n">
        <x:f>IF(AND(7&gt;=$D23,7&lt;=$E23),1,0)</x:f>
        <x:v>0</x:v>
      </x:c>
      <x:c r="R23" s="19" t="n">
        <x:f>IF(AND(8&gt;=$D23,8&lt;=$E23),1,0)</x:f>
        <x:v>0</x:v>
      </x:c>
      <x:c r="S23" s="19" t="n">
        <x:f>IF(AND(9&gt;=$D23,9&lt;=$E23),1,0)</x:f>
        <x:v>0</x:v>
      </x:c>
      <x:c r="T23" s="19" t="n">
        <x:f>IF(AND(10&gt;=$D23,10&lt;=$E23),1,0)</x:f>
        <x:v>1</x:v>
      </x:c>
      <x:c r="U23" s="19" t="n">
        <x:f>IF(AND(11&gt;=$D23,11&lt;=$E23),1,0)</x:f>
        <x:v>1</x:v>
      </x:c>
      <x:c r="V23" s="19" t="n">
        <x:f>IF(AND(12&gt;=$D23,12&lt;=$E23),1,0)</x:f>
        <x:v>0</x:v>
      </x:c>
      <x:c r="W23" s="19" t="n">
        <x:f>IF(AND(13&gt;=$D23,13&lt;=$E23),1,0)</x:f>
        <x:v>0</x:v>
      </x:c>
      <x:c r="X23" s="19" t="n">
        <x:f>IF(AND(14&gt;=$D23,14&lt;=$E23),1,0)</x:f>
        <x:v>0</x:v>
      </x:c>
      <x:c r="Y23" s="20" t="n">
        <x:f>IF(AND(15&gt;=$D23,15&lt;=$E23),1,0)</x:f>
        <x:v>0</x:v>
      </x:c>
    </x:row>
    <x:row r="24" ht="21" customHeight="1">
      <x:c r="A24" s="13" t="str">
        <x:v>18</x:v>
      </x:c>
      <x:c r="B24" s="13" t="str">
        <x:v>Validación</x:v>
      </x:c>
      <x:c r="C24" s="13" t="str">
        <x:v>Pruebas moderadas con escenarios de mesa</x:v>
      </x:c>
      <x:c r="D24" s="13" t="n">
        <x:v>11</x:v>
      </x:c>
      <x:c r="E24" s="13" t="n">
        <x:v>12</x:v>
      </x:c>
      <x:c r="F24" s="13" t="str">
        <x:v>Equipo completo</x:v>
      </x:c>
      <x:c r="G24" s="13" t="str">
        <x:v>Observaciones y fricciones registradas</x:v>
      </x:c>
      <x:c r="H24" s="13" t="n">
        <x:v>6</x:v>
      </x:c>
      <x:c r="I24" s="13" t="n">
        <x:v>5</x:v>
      </x:c>
      <x:c r="J24" s="13" t="n">
        <x:v>5</x:v>
      </x:c>
      <x:c r="K24" s="18" t="n">
        <x:f>IF(AND(1&gt;=$D24,1&lt;=$E24),1,0)</x:f>
        <x:v>0</x:v>
      </x:c>
      <x:c r="L24" s="19" t="n">
        <x:f>IF(AND(2&gt;=$D24,2&lt;=$E24),1,0)</x:f>
        <x:v>0</x:v>
      </x:c>
      <x:c r="M24" s="19" t="n">
        <x:f>IF(AND(3&gt;=$D24,3&lt;=$E24),1,0)</x:f>
        <x:v>0</x:v>
      </x:c>
      <x:c r="N24" s="19" t="n">
        <x:f>IF(AND(4&gt;=$D24,4&lt;=$E24),1,0)</x:f>
        <x:v>0</x:v>
      </x:c>
      <x:c r="O24" s="19" t="n">
        <x:f>IF(AND(5&gt;=$D24,5&lt;=$E24),1,0)</x:f>
        <x:v>0</x:v>
      </x:c>
      <x:c r="P24" s="19" t="n">
        <x:f>IF(AND(6&gt;=$D24,6&lt;=$E24),1,0)</x:f>
        <x:v>0</x:v>
      </x:c>
      <x:c r="Q24" s="19" t="n">
        <x:f>IF(AND(7&gt;=$D24,7&lt;=$E24),1,0)</x:f>
        <x:v>0</x:v>
      </x:c>
      <x:c r="R24" s="19" t="n">
        <x:f>IF(AND(8&gt;=$D24,8&lt;=$E24),1,0)</x:f>
        <x:v>0</x:v>
      </x:c>
      <x:c r="S24" s="19" t="n">
        <x:f>IF(AND(9&gt;=$D24,9&lt;=$E24),1,0)</x:f>
        <x:v>0</x:v>
      </x:c>
      <x:c r="T24" s="19" t="n">
        <x:f>IF(AND(10&gt;=$D24,10&lt;=$E24),1,0)</x:f>
        <x:v>0</x:v>
      </x:c>
      <x:c r="U24" s="19" t="n">
        <x:f>IF(AND(11&gt;=$D24,11&lt;=$E24),1,0)</x:f>
        <x:v>1</x:v>
      </x:c>
      <x:c r="V24" s="19" t="n">
        <x:f>IF(AND(12&gt;=$D24,12&lt;=$E24),1,0)</x:f>
        <x:v>1</x:v>
      </x:c>
      <x:c r="W24" s="19" t="n">
        <x:f>IF(AND(13&gt;=$D24,13&lt;=$E24),1,0)</x:f>
        <x:v>0</x:v>
      </x:c>
      <x:c r="X24" s="19" t="n">
        <x:f>IF(AND(14&gt;=$D24,14&lt;=$E24),1,0)</x:f>
        <x:v>0</x:v>
      </x:c>
      <x:c r="Y24" s="20" t="n">
        <x:f>IF(AND(15&gt;=$D24,15&lt;=$E24),1,0)</x:f>
        <x:v>0</x:v>
      </x:c>
    </x:row>
    <x:row r="25" ht="21" customHeight="1">
      <x:c r="A25" s="13" t="str">
        <x:v>19</x:v>
      </x:c>
      <x:c r="B25" s="13" t="str">
        <x:v>Validación</x:v>
      </x:c>
      <x:c r="C25" s="13" t="str">
        <x:v>Análisis de resultados y priorización de ajustes</x:v>
      </x:c>
      <x:c r="D25" s="13" t="n">
        <x:v>12</x:v>
      </x:c>
      <x:c r="E25" s="13" t="n">
        <x:v>13</x:v>
      </x:c>
      <x:c r="F25" s="13" t="str">
        <x:v>Diseñadora 1</x:v>
      </x:c>
      <x:c r="G25" s="13" t="str">
        <x:v>Hallazgos priorizados por impacto</x:v>
      </x:c>
      <x:c r="H25" s="13" t="n">
        <x:v>5</x:v>
      </x:c>
      <x:c r="I25" s="13" t="n">
        <x:v>4</x:v>
      </x:c>
      <x:c r="J25" s="13" t="n">
        <x:v>4</x:v>
      </x:c>
      <x:c r="K25" s="18" t="n">
        <x:f>IF(AND(1&gt;=$D25,1&lt;=$E25),1,0)</x:f>
        <x:v>0</x:v>
      </x:c>
      <x:c r="L25" s="19" t="n">
        <x:f>IF(AND(2&gt;=$D25,2&lt;=$E25),1,0)</x:f>
        <x:v>0</x:v>
      </x:c>
      <x:c r="M25" s="19" t="n">
        <x:f>IF(AND(3&gt;=$D25,3&lt;=$E25),1,0)</x:f>
        <x:v>0</x:v>
      </x:c>
      <x:c r="N25" s="19" t="n">
        <x:f>IF(AND(4&gt;=$D25,4&lt;=$E25),1,0)</x:f>
        <x:v>0</x:v>
      </x:c>
      <x:c r="O25" s="19" t="n">
        <x:f>IF(AND(5&gt;=$D25,5&lt;=$E25),1,0)</x:f>
        <x:v>0</x:v>
      </x:c>
      <x:c r="P25" s="19" t="n">
        <x:f>IF(AND(6&gt;=$D25,6&lt;=$E25),1,0)</x:f>
        <x:v>0</x:v>
      </x:c>
      <x:c r="Q25" s="19" t="n">
        <x:f>IF(AND(7&gt;=$D25,7&lt;=$E25),1,0)</x:f>
        <x:v>0</x:v>
      </x:c>
      <x:c r="R25" s="19" t="n">
        <x:f>IF(AND(8&gt;=$D25,8&lt;=$E25),1,0)</x:f>
        <x:v>0</x:v>
      </x:c>
      <x:c r="S25" s="19" t="n">
        <x:f>IF(AND(9&gt;=$D25,9&lt;=$E25),1,0)</x:f>
        <x:v>0</x:v>
      </x:c>
      <x:c r="T25" s="19" t="n">
        <x:f>IF(AND(10&gt;=$D25,10&lt;=$E25),1,0)</x:f>
        <x:v>0</x:v>
      </x:c>
      <x:c r="U25" s="19" t="n">
        <x:f>IF(AND(11&gt;=$D25,11&lt;=$E25),1,0)</x:f>
        <x:v>0</x:v>
      </x:c>
      <x:c r="V25" s="19" t="n">
        <x:f>IF(AND(12&gt;=$D25,12&lt;=$E25),1,0)</x:f>
        <x:v>1</x:v>
      </x:c>
      <x:c r="W25" s="19" t="n">
        <x:f>IF(AND(13&gt;=$D25,13&lt;=$E25),1,0)</x:f>
        <x:v>1</x:v>
      </x:c>
      <x:c r="X25" s="19" t="n">
        <x:f>IF(AND(14&gt;=$D25,14&lt;=$E25),1,0)</x:f>
        <x:v>0</x:v>
      </x:c>
      <x:c r="Y25" s="20" t="n">
        <x:f>IF(AND(15&gt;=$D25,15&lt;=$E25),1,0)</x:f>
        <x:v>0</x:v>
      </x:c>
    </x:row>
    <x:row r="26" ht="21" customHeight="1">
      <x:c r="A26" s="13" t="str">
        <x:v>20</x:v>
      </x:c>
      <x:c r="B26" s="13" t="str">
        <x:v>Iteración</x:v>
      </x:c>
      <x:c r="C26" s="13" t="str">
        <x:v>Iteración de interfaz y sistema visual</x:v>
      </x:c>
      <x:c r="D26" s="13" t="n">
        <x:v>13</x:v>
      </x:c>
      <x:c r="E26" s="13" t="n">
        <x:v>14</x:v>
      </x:c>
      <x:c r="F26" s="13" t="str">
        <x:v>Diseñadora 2</x:v>
      </x:c>
      <x:c r="G26" s="13" t="str">
        <x:v>Prototipo corregido y accesible</x:v>
      </x:c>
      <x:c r="H26" s="13" t="n">
        <x:v>2</x:v>
      </x:c>
      <x:c r="I26" s="13" t="n">
        <x:v>7</x:v>
      </x:c>
      <x:c r="J26" s="13" t="n">
        <x:v>3</x:v>
      </x:c>
      <x:c r="K26" s="18" t="n">
        <x:f>IF(AND(1&gt;=$D26,1&lt;=$E26),1,0)</x:f>
        <x:v>0</x:v>
      </x:c>
      <x:c r="L26" s="19" t="n">
        <x:f>IF(AND(2&gt;=$D26,2&lt;=$E26),1,0)</x:f>
        <x:v>0</x:v>
      </x:c>
      <x:c r="M26" s="19" t="n">
        <x:f>IF(AND(3&gt;=$D26,3&lt;=$E26),1,0)</x:f>
        <x:v>0</x:v>
      </x:c>
      <x:c r="N26" s="19" t="n">
        <x:f>IF(AND(4&gt;=$D26,4&lt;=$E26),1,0)</x:f>
        <x:v>0</x:v>
      </x:c>
      <x:c r="O26" s="19" t="n">
        <x:f>IF(AND(5&gt;=$D26,5&lt;=$E26),1,0)</x:f>
        <x:v>0</x:v>
      </x:c>
      <x:c r="P26" s="19" t="n">
        <x:f>IF(AND(6&gt;=$D26,6&lt;=$E26),1,0)</x:f>
        <x:v>0</x:v>
      </x:c>
      <x:c r="Q26" s="19" t="n">
        <x:f>IF(AND(7&gt;=$D26,7&lt;=$E26),1,0)</x:f>
        <x:v>0</x:v>
      </x:c>
      <x:c r="R26" s="19" t="n">
        <x:f>IF(AND(8&gt;=$D26,8&lt;=$E26),1,0)</x:f>
        <x:v>0</x:v>
      </x:c>
      <x:c r="S26" s="19" t="n">
        <x:f>IF(AND(9&gt;=$D26,9&lt;=$E26),1,0)</x:f>
        <x:v>0</x:v>
      </x:c>
      <x:c r="T26" s="19" t="n">
        <x:f>IF(AND(10&gt;=$D26,10&lt;=$E26),1,0)</x:f>
        <x:v>0</x:v>
      </x:c>
      <x:c r="U26" s="19" t="n">
        <x:f>IF(AND(11&gt;=$D26,11&lt;=$E26),1,0)</x:f>
        <x:v>0</x:v>
      </x:c>
      <x:c r="V26" s="19" t="n">
        <x:f>IF(AND(12&gt;=$D26,12&lt;=$E26),1,0)</x:f>
        <x:v>0</x:v>
      </x:c>
      <x:c r="W26" s="19" t="n">
        <x:f>IF(AND(13&gt;=$D26,13&lt;=$E26),1,0)</x:f>
        <x:v>1</x:v>
      </x:c>
      <x:c r="X26" s="19" t="n">
        <x:f>IF(AND(14&gt;=$D26,14&lt;=$E26),1,0)</x:f>
        <x:v>1</x:v>
      </x:c>
      <x:c r="Y26" s="20" t="n">
        <x:f>IF(AND(15&gt;=$D26,15&lt;=$E26),1,0)</x:f>
        <x:v>0</x:v>
      </x:c>
    </x:row>
    <x:row r="27" ht="21" customHeight="1">
      <x:c r="A27" s="13" t="str">
        <x:v>21</x:v>
      </x:c>
      <x:c r="B27" s="13" t="str">
        <x:v>Iteración</x:v>
      </x:c>
      <x:c r="C27" s="13" t="str">
        <x:v>Iteración de prompts, temas y salvaguardas</x:v>
      </x:c>
      <x:c r="D27" s="13" t="n">
        <x:v>13</x:v>
      </x:c>
      <x:c r="E27" s="13" t="n">
        <x:v>14</x:v>
      </x:c>
      <x:c r="F27" s="13" t="str">
        <x:v>Diseñadora 3</x:v>
      </x:c>
      <x:c r="G27" s="13" t="str">
        <x:v>Prompt y contenidos depurados</x:v>
      </x:c>
      <x:c r="H27" s="13" t="n">
        <x:v>3</x:v>
      </x:c>
      <x:c r="I27" s="13" t="n">
        <x:v>2</x:v>
      </x:c>
      <x:c r="J27" s="13" t="n">
        <x:v>6</x:v>
      </x:c>
      <x:c r="K27" s="18" t="n">
        <x:f>IF(AND(1&gt;=$D27,1&lt;=$E27),1,0)</x:f>
        <x:v>0</x:v>
      </x:c>
      <x:c r="L27" s="19" t="n">
        <x:f>IF(AND(2&gt;=$D27,2&lt;=$E27),1,0)</x:f>
        <x:v>0</x:v>
      </x:c>
      <x:c r="M27" s="19" t="n">
        <x:f>IF(AND(3&gt;=$D27,3&lt;=$E27),1,0)</x:f>
        <x:v>0</x:v>
      </x:c>
      <x:c r="N27" s="19" t="n">
        <x:f>IF(AND(4&gt;=$D27,4&lt;=$E27),1,0)</x:f>
        <x:v>0</x:v>
      </x:c>
      <x:c r="O27" s="19" t="n">
        <x:f>IF(AND(5&gt;=$D27,5&lt;=$E27),1,0)</x:f>
        <x:v>0</x:v>
      </x:c>
      <x:c r="P27" s="19" t="n">
        <x:f>IF(AND(6&gt;=$D27,6&lt;=$E27),1,0)</x:f>
        <x:v>0</x:v>
      </x:c>
      <x:c r="Q27" s="19" t="n">
        <x:f>IF(AND(7&gt;=$D27,7&lt;=$E27),1,0)</x:f>
        <x:v>0</x:v>
      </x:c>
      <x:c r="R27" s="19" t="n">
        <x:f>IF(AND(8&gt;=$D27,8&lt;=$E27),1,0)</x:f>
        <x:v>0</x:v>
      </x:c>
      <x:c r="S27" s="19" t="n">
        <x:f>IF(AND(9&gt;=$D27,9&lt;=$E27),1,0)</x:f>
        <x:v>0</x:v>
      </x:c>
      <x:c r="T27" s="19" t="n">
        <x:f>IF(AND(10&gt;=$D27,10&lt;=$E27),1,0)</x:f>
        <x:v>0</x:v>
      </x:c>
      <x:c r="U27" s="19" t="n">
        <x:f>IF(AND(11&gt;=$D27,11&lt;=$E27),1,0)</x:f>
        <x:v>0</x:v>
      </x:c>
      <x:c r="V27" s="19" t="n">
        <x:f>IF(AND(12&gt;=$D27,12&lt;=$E27),1,0)</x:f>
        <x:v>0</x:v>
      </x:c>
      <x:c r="W27" s="19" t="n">
        <x:f>IF(AND(13&gt;=$D27,13&lt;=$E27),1,0)</x:f>
        <x:v>1</x:v>
      </x:c>
      <x:c r="X27" s="19" t="n">
        <x:f>IF(AND(14&gt;=$D27,14&lt;=$E27),1,0)</x:f>
        <x:v>1</x:v>
      </x:c>
      <x:c r="Y27" s="20" t="n">
        <x:f>IF(AND(15&gt;=$D27,15&lt;=$E27),1,0)</x:f>
        <x:v>0</x:v>
      </x:c>
    </x:row>
    <x:row r="28" ht="21" customHeight="1">
      <x:c r="A28" s="13" t="str">
        <x:v>22</x:v>
      </x:c>
      <x:c r="B28" s="13" t="str">
        <x:v>Cierre</x:v>
      </x:c>
      <x:c r="C28" s="13" t="str">
        <x:v>Video conceptual / relato de funcionamiento</x:v>
      </x:c>
      <x:c r="D28" s="13" t="n">
        <x:v>14</x:v>
      </x:c>
      <x:c r="E28" s="13" t="n">
        <x:v>15</x:v>
      </x:c>
      <x:c r="F28" s="13" t="str">
        <x:v>Diseñadora 2</x:v>
      </x:c>
      <x:c r="G28" s="13" t="str">
        <x:v>Pieza conceptual o storyboard</x:v>
      </x:c>
      <x:c r="H28" s="13" t="n">
        <x:v>2</x:v>
      </x:c>
      <x:c r="I28" s="13" t="n">
        <x:v>5</x:v>
      </x:c>
      <x:c r="J28" s="13" t="n">
        <x:v>4</x:v>
      </x:c>
      <x:c r="K28" s="18" t="n">
        <x:f>IF(AND(1&gt;=$D28,1&lt;=$E28),1,0)</x:f>
        <x:v>0</x:v>
      </x:c>
      <x:c r="L28" s="19" t="n">
        <x:f>IF(AND(2&gt;=$D28,2&lt;=$E28),1,0)</x:f>
        <x:v>0</x:v>
      </x:c>
      <x:c r="M28" s="19" t="n">
        <x:f>IF(AND(3&gt;=$D28,3&lt;=$E28),1,0)</x:f>
        <x:v>0</x:v>
      </x:c>
      <x:c r="N28" s="19" t="n">
        <x:f>IF(AND(4&gt;=$D28,4&lt;=$E28),1,0)</x:f>
        <x:v>0</x:v>
      </x:c>
      <x:c r="O28" s="19" t="n">
        <x:f>IF(AND(5&gt;=$D28,5&lt;=$E28),1,0)</x:f>
        <x:v>0</x:v>
      </x:c>
      <x:c r="P28" s="19" t="n">
        <x:f>IF(AND(6&gt;=$D28,6&lt;=$E28),1,0)</x:f>
        <x:v>0</x:v>
      </x:c>
      <x:c r="Q28" s="19" t="n">
        <x:f>IF(AND(7&gt;=$D28,7&lt;=$E28),1,0)</x:f>
        <x:v>0</x:v>
      </x:c>
      <x:c r="R28" s="19" t="n">
        <x:f>IF(AND(8&gt;=$D28,8&lt;=$E28),1,0)</x:f>
        <x:v>0</x:v>
      </x:c>
      <x:c r="S28" s="19" t="n">
        <x:f>IF(AND(9&gt;=$D28,9&lt;=$E28),1,0)</x:f>
        <x:v>0</x:v>
      </x:c>
      <x:c r="T28" s="19" t="n">
        <x:f>IF(AND(10&gt;=$D28,10&lt;=$E28),1,0)</x:f>
        <x:v>0</x:v>
      </x:c>
      <x:c r="U28" s="19" t="n">
        <x:f>IF(AND(11&gt;=$D28,11&lt;=$E28),1,0)</x:f>
        <x:v>0</x:v>
      </x:c>
      <x:c r="V28" s="19" t="n">
        <x:f>IF(AND(12&gt;=$D28,12&lt;=$E28),1,0)</x:f>
        <x:v>0</x:v>
      </x:c>
      <x:c r="W28" s="19" t="n">
        <x:f>IF(AND(13&gt;=$D28,13&lt;=$E28),1,0)</x:f>
        <x:v>0</x:v>
      </x:c>
      <x:c r="X28" s="19" t="n">
        <x:f>IF(AND(14&gt;=$D28,14&lt;=$E28),1,0)</x:f>
        <x:v>1</x:v>
      </x:c>
      <x:c r="Y28" s="20" t="n">
        <x:f>IF(AND(15&gt;=$D28,15&lt;=$E28),1,0)</x:f>
        <x:v>1</x:v>
      </x:c>
    </x:row>
    <x:row r="29" ht="21" customHeight="1">
      <x:c r="A29" s="13" t="str">
        <x:v>23</x:v>
      </x:c>
      <x:c r="B29" s="13" t="str">
        <x:v>Cierre</x:v>
      </x:c>
      <x:c r="C29" s="13" t="str">
        <x:v>Documentación, costos y roadmap de evolución</x:v>
      </x:c>
      <x:c r="D29" s="13" t="n">
        <x:v>14</x:v>
      </x:c>
      <x:c r="E29" s="13" t="n">
        <x:v>15</x:v>
      </x:c>
      <x:c r="F29" s="13" t="str">
        <x:v>Diseñadora 1</x:v>
      </x:c>
      <x:c r="G29" s="13" t="str">
        <x:v>Dossier y presupuesto parametrizable</x:v>
      </x:c>
      <x:c r="H29" s="13" t="n">
        <x:v>6</x:v>
      </x:c>
      <x:c r="I29" s="13" t="n">
        <x:v>3</x:v>
      </x:c>
      <x:c r="J29" s="13" t="n">
        <x:v>3</x:v>
      </x:c>
      <x:c r="K29" s="18" t="n">
        <x:f>IF(AND(1&gt;=$D29,1&lt;=$E29),1,0)</x:f>
        <x:v>0</x:v>
      </x:c>
      <x:c r="L29" s="19" t="n">
        <x:f>IF(AND(2&gt;=$D29,2&lt;=$E29),1,0)</x:f>
        <x:v>0</x:v>
      </x:c>
      <x:c r="M29" s="19" t="n">
        <x:f>IF(AND(3&gt;=$D29,3&lt;=$E29),1,0)</x:f>
        <x:v>0</x:v>
      </x:c>
      <x:c r="N29" s="19" t="n">
        <x:f>IF(AND(4&gt;=$D29,4&lt;=$E29),1,0)</x:f>
        <x:v>0</x:v>
      </x:c>
      <x:c r="O29" s="19" t="n">
        <x:f>IF(AND(5&gt;=$D29,5&lt;=$E29),1,0)</x:f>
        <x:v>0</x:v>
      </x:c>
      <x:c r="P29" s="19" t="n">
        <x:f>IF(AND(6&gt;=$D29,6&lt;=$E29),1,0)</x:f>
        <x:v>0</x:v>
      </x:c>
      <x:c r="Q29" s="19" t="n">
        <x:f>IF(AND(7&gt;=$D29,7&lt;=$E29),1,0)</x:f>
        <x:v>0</x:v>
      </x:c>
      <x:c r="R29" s="19" t="n">
        <x:f>IF(AND(8&gt;=$D29,8&lt;=$E29),1,0)</x:f>
        <x:v>0</x:v>
      </x:c>
      <x:c r="S29" s="19" t="n">
        <x:f>IF(AND(9&gt;=$D29,9&lt;=$E29),1,0)</x:f>
        <x:v>0</x:v>
      </x:c>
      <x:c r="T29" s="19" t="n">
        <x:f>IF(AND(10&gt;=$D29,10&lt;=$E29),1,0)</x:f>
        <x:v>0</x:v>
      </x:c>
      <x:c r="U29" s="19" t="n">
        <x:f>IF(AND(11&gt;=$D29,11&lt;=$E29),1,0)</x:f>
        <x:v>0</x:v>
      </x:c>
      <x:c r="V29" s="19" t="n">
        <x:f>IF(AND(12&gt;=$D29,12&lt;=$E29),1,0)</x:f>
        <x:v>0</x:v>
      </x:c>
      <x:c r="W29" s="19" t="n">
        <x:f>IF(AND(13&gt;=$D29,13&lt;=$E29),1,0)</x:f>
        <x:v>0</x:v>
      </x:c>
      <x:c r="X29" s="19" t="n">
        <x:f>IF(AND(14&gt;=$D29,14&lt;=$E29),1,0)</x:f>
        <x:v>1</x:v>
      </x:c>
      <x:c r="Y29" s="20" t="n">
        <x:f>IF(AND(15&gt;=$D29,15&lt;=$E29),1,0)</x:f>
        <x:v>1</x:v>
      </x:c>
    </x:row>
    <x:row r="30" ht="21" customHeight="1">
      <x:c r="A30" s="13" t="str">
        <x:v>24</x:v>
      </x:c>
      <x:c r="B30" s="13" t="str">
        <x:v>Cierre</x:v>
      </x:c>
      <x:c r="C30" s="13" t="str">
        <x:v>QA final, presentación y entrega integrada</x:v>
      </x:c>
      <x:c r="D30" s="13" t="n">
        <x:v>15</x:v>
      </x:c>
      <x:c r="E30" s="13" t="n">
        <x:v>15</x:v>
      </x:c>
      <x:c r="F30" s="13" t="str">
        <x:v>Equipo completo</x:v>
      </x:c>
      <x:c r="G30" s="13" t="str">
        <x:v>Entrega final revisada</x:v>
      </x:c>
      <x:c r="H30" s="13" t="n">
        <x:v>4</x:v>
      </x:c>
      <x:c r="I30" s="13" t="n">
        <x:v>4</x:v>
      </x:c>
      <x:c r="J30" s="13" t="n">
        <x:v>4</x:v>
      </x:c>
      <x:c r="K30" s="21" t="n">
        <x:f>IF(AND(1&gt;=$D30,1&lt;=$E30),1,0)</x:f>
        <x:v>0</x:v>
      </x:c>
      <x:c r="L30" s="22" t="n">
        <x:f>IF(AND(2&gt;=$D30,2&lt;=$E30),1,0)</x:f>
        <x:v>0</x:v>
      </x:c>
      <x:c r="M30" s="22" t="n">
        <x:f>IF(AND(3&gt;=$D30,3&lt;=$E30),1,0)</x:f>
        <x:v>0</x:v>
      </x:c>
      <x:c r="N30" s="22" t="n">
        <x:f>IF(AND(4&gt;=$D30,4&lt;=$E30),1,0)</x:f>
        <x:v>0</x:v>
      </x:c>
      <x:c r="O30" s="22" t="n">
        <x:f>IF(AND(5&gt;=$D30,5&lt;=$E30),1,0)</x:f>
        <x:v>0</x:v>
      </x:c>
      <x:c r="P30" s="22" t="n">
        <x:f>IF(AND(6&gt;=$D30,6&lt;=$E30),1,0)</x:f>
        <x:v>0</x:v>
      </x:c>
      <x:c r="Q30" s="22" t="n">
        <x:f>IF(AND(7&gt;=$D30,7&lt;=$E30),1,0)</x:f>
        <x:v>0</x:v>
      </x:c>
      <x:c r="R30" s="22" t="n">
        <x:f>IF(AND(8&gt;=$D30,8&lt;=$E30),1,0)</x:f>
        <x:v>0</x:v>
      </x:c>
      <x:c r="S30" s="22" t="n">
        <x:f>IF(AND(9&gt;=$D30,9&lt;=$E30),1,0)</x:f>
        <x:v>0</x:v>
      </x:c>
      <x:c r="T30" s="22" t="n">
        <x:f>IF(AND(10&gt;=$D30,10&lt;=$E30),1,0)</x:f>
        <x:v>0</x:v>
      </x:c>
      <x:c r="U30" s="22" t="n">
        <x:f>IF(AND(11&gt;=$D30,11&lt;=$E30),1,0)</x:f>
        <x:v>0</x:v>
      </x:c>
      <x:c r="V30" s="22" t="n">
        <x:f>IF(AND(12&gt;=$D30,12&lt;=$E30),1,0)</x:f>
        <x:v>0</x:v>
      </x:c>
      <x:c r="W30" s="22" t="n">
        <x:f>IF(AND(13&gt;=$D30,13&lt;=$E30),1,0)</x:f>
        <x:v>0</x:v>
      </x:c>
      <x:c r="X30" s="22" t="n">
        <x:f>IF(AND(14&gt;=$D30,14&lt;=$E30),1,0)</x:f>
        <x:v>0</x:v>
      </x:c>
      <x:c r="Y30" s="23" t="n">
        <x:f>IF(AND(15&gt;=$D30,15&lt;=$E30),1,0)</x:f>
        <x:v>1</x:v>
      </x:c>
    </x:row>
    <x:row r="31" ht="25" customHeight="1">
      <x:c r="A31" s="24" t="str">
        <x:v>TOTAL HORAS ESTIMADAS POR DISEÑADORA</x:v>
      </x:c>
      <x:c r="B31" s="24"/>
      <x:c r="C31" s="24"/>
      <x:c r="D31" s="24"/>
      <x:c r="E31" s="24"/>
      <x:c r="F31" s="24"/>
      <x:c r="G31" s="24"/>
      <x:c r="H31" s="24" t="n">
        <x:f>SUM(H7:H30)</x:f>
        <x:v>91</x:v>
      </x:c>
      <x:c r="I31" s="24" t="n">
        <x:f>SUM(I7:I30)</x:f>
        <x:v>101</x:v>
      </x:c>
      <x:c r="J31" s="24" t="n">
        <x:f>SUM(J7:J30)</x:f>
        <x:v>97</x:v>
      </x:c>
      <x:c r="K31" s="24"/>
      <x:c r="L31" s="24"/>
      <x:c r="M31" s="24"/>
      <x:c r="N31" s="24"/>
      <x:c r="O31" s="24"/>
      <x:c r="P31" s="24"/>
      <x:c r="Q31" s="24"/>
      <x:c r="R31" s="24"/>
      <x:c r="S31" s="24"/>
      <x:c r="T31" s="24"/>
      <x:c r="U31" s="24"/>
      <x:c r="V31" s="24"/>
      <x:c r="W31" s="24"/>
      <x:c r="X31" s="24"/>
      <x:c r="Y31" s="24"/>
    </x:row>
  </x:sheetData>
  <x:mergeCells>
    <x:mergeCell ref="A1:Y2"/>
    <x:mergeCell ref="A3:Y3"/>
    <x:mergeCell ref="K5:O5"/>
    <x:mergeCell ref="P5:T5"/>
    <x:mergeCell ref="U5:Y5"/>
    <x:mergeCell ref="A31:G31"/>
  </x:mergeCells>
  <x:conditionalFormatting sqref="K7:Y30">
    <x:cfRule type="cellIs" dxfId="0" priority="1" operator="equal">
      <x:formula>1</x:formula>
    </x:cfRule>
  </x:conditionalFormatting>
  <x:dataValidations count="1">
    <x:dataValidation type="whole" operator="between" sqref="D7:E30">
      <x:formula1>1</x:formula1>
      <x:formula2>15</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57" hidden="0" customWidth="1"/>
    <x:col min="3" max="3" width="18" hidden="0" customWidth="1"/>
    <x:col min="4" max="4" width="22" hidden="0" customWidth="1"/>
    <x:col min="5" max="5" width="22" hidden="0" customWidth="1"/>
    <x:col min="6" max="6" width="24" hidden="0" customWidth="1"/>
    <x:col min="7" max="7" width="34" hidden="0" customWidth="1"/>
  </x:cols>
  <x:sheetData>
    <x:row r="1" ht="25" customHeight="1">
      <x:c r="A1" s="2" t="str">
        <x:v>SOBREMESA  |  ESTRUCTURA DE COSTOS</x:v>
      </x:c>
      <x:c r="B1" s="2"/>
      <x:c r="C1" s="2"/>
      <x:c r="D1" s="2"/>
      <x:c r="E1" s="2"/>
      <x:c r="F1" s="2"/>
      <x:c r="G1" s="2"/>
    </x:row>
    <x:row r="2" ht="25" customHeight="1">
      <x:c r="A2" s="2"/>
      <x:c r="B2" s="2"/>
      <x:c r="C2" s="2"/>
      <x:c r="D2" s="2"/>
      <x:c r="E2" s="2"/>
      <x:c r="F2" s="2"/>
      <x:c r="G2" s="2"/>
    </x:row>
    <x:row r="3" ht="23" customHeight="1">
      <x:c r="A3" s="4" t="str">
        <x:v>Modelo editable en CLP: ingresa únicamente tarifas y gastos reales para obtener el presupuesto.</x:v>
      </x:c>
      <x:c r="B3" s="4"/>
      <x:c r="C3" s="4"/>
      <x:c r="D3" s="4"/>
      <x:c r="E3" s="4"/>
      <x:c r="F3" s="4"/>
      <x:c r="G3" s="4"/>
    </x:row>
    <x:row r="5" ht="22" customHeight="1">
      <x:c r="A5" s="25" t="str">
        <x:v>1. HONORARIOS PROFESIONALES · vinculados a la carta Gantt</x:v>
      </x:c>
      <x:c r="B5" s="25"/>
      <x:c r="C5" s="25"/>
      <x:c r="D5" s="25"/>
      <x:c r="E5" s="25"/>
      <x:c r="F5" s="25"/>
      <x:c r="G5" s="25"/>
    </x:row>
    <x:row r="6" ht="31" customHeight="1">
      <x:c r="A6" s="11" t="str">
        <x:v>Profesional</x:v>
      </x:c>
      <x:c r="B6" s="11" t="str">
        <x:v>Responsabilidad principal</x:v>
      </x:c>
      <x:c r="C6" s="11" t="str">
        <x:v>Horas del Gantt</x:v>
      </x:c>
      <x:c r="D6" s="11" t="str">
        <x:v>Tarifa por hora CLP</x:v>
      </x:c>
      <x:c r="E6" s="11" t="str">
        <x:v>Subtotal CLP</x:v>
      </x:c>
      <x:c r="F6" s="11" t="str">
        <x:v>Estado</x:v>
      </x:c>
      <x:c r="G6" s="11" t="str">
        <x:v>Criterio</x:v>
      </x:c>
    </x:row>
    <x:row r="7" ht="21" customHeight="1">
      <x:c r="A7" s="13" t="str">
        <x:v>Diseñadora 1</x:v>
      </x:c>
      <x:c r="B7" s="13" t="str">
        <x:v>Investigación UX, estrategia, datos y validación</x:v>
      </x:c>
      <x:c r="C7" s="13" t="n">
        <x:f>'Carta Gantt'!H31</x:f>
        <x:v>91</x:v>
      </x:c>
      <x:c r="D7" s="35"/>
      <x:c r="E7" s="36" t="str">
        <x:f>IF(D7="","",C7*D7)</x:f>
      </x:c>
      <x:c r="F7" s="13" t="str">
        <x:f>IF(D7="","PENDIENTE TARIFA","COTIZADO")</x:f>
        <x:v>PENDIENTE TARIFA</x:v>
      </x:c>
      <x:c r="G7" s="13" t="str">
        <x:v>Tarifa real por definir; no inferida</x:v>
      </x:c>
    </x:row>
    <x:row r="8" ht="21" customHeight="1">
      <x:c r="A8" s="13" t="str">
        <x:v>Diseñadora 2</x:v>
      </x:c>
      <x:c r="B8" s="13" t="str">
        <x:v>Arquitectura, interfaz, sistema visual y prototipo</x:v>
      </x:c>
      <x:c r="C8" s="13" t="n">
        <x:f>'Carta Gantt'!I31</x:f>
        <x:v>101</x:v>
      </x:c>
      <x:c r="D8" s="35"/>
      <x:c r="E8" s="36" t="str">
        <x:f>IF(D8="","",C8*D8)</x:f>
      </x:c>
      <x:c r="F8" s="13" t="str">
        <x:f>IF(D8="","PENDIENTE TARIFA","COTIZADO")</x:f>
        <x:v>PENDIENTE TARIFA</x:v>
      </x:c>
      <x:c r="G8" s="13" t="str">
        <x:v>Tarifa real por definir; no inferida</x:v>
      </x:c>
    </x:row>
    <x:row r="9" ht="21" customHeight="1">
      <x:c r="A9" s="13" t="str">
        <x:v>Diseñadora 3</x:v>
      </x:c>
      <x:c r="B9" s="13" t="str">
        <x:v>Contenido conversacional, prompts y seguridad</x:v>
      </x:c>
      <x:c r="C9" s="13" t="n">
        <x:f>'Carta Gantt'!J31</x:f>
        <x:v>97</x:v>
      </x:c>
      <x:c r="D9" s="35"/>
      <x:c r="E9" s="36" t="str">
        <x:f>IF(D9="","",C9*D9)</x:f>
      </x:c>
      <x:c r="F9" s="13" t="str">
        <x:f>IF(D9="","PENDIENTE TARIFA","COTIZADO")</x:f>
        <x:v>PENDIENTE TARIFA</x:v>
      </x:c>
      <x:c r="G9" s="13" t="str">
        <x:v>Tarifa real por definir; no inferida</x:v>
      </x:c>
    </x:row>
    <x:row r="10" ht="23" customHeight="1">
      <x:c r="A10" s="29" t="str">
        <x:v>SUBTOTAL HONORARIOS</x:v>
      </x:c>
      <x:c r="B10" s="29"/>
      <x:c r="C10" s="29" t="n">
        <x:f>SUM(C7:C9)</x:f>
        <x:v>289</x:v>
      </x:c>
      <x:c r="D10" s="37"/>
      <x:c r="E10" s="37" t="str">
        <x:f>IF(COUNT(D7:D9)=3,SUM(E7:E9),"")</x:f>
      </x:c>
      <x:c r="F10" s="29" t="str">
        <x:f>IF(COUNT(D7:D9)=3,"COMPLETO","INCOMPLETO")</x:f>
        <x:v>INCOMPLETO</x:v>
      </x:c>
      <x:c r="G10" s="29"/>
    </x:row>
    <x:row r="13" ht="22" customHeight="1">
      <x:c r="A13" s="25" t="str">
        <x:v>2. GASTOS DIRECTOS DEL PROYECTO · no asumir valores no entregados</x:v>
      </x:c>
      <x:c r="B13" s="25"/>
      <x:c r="C13" s="25"/>
      <x:c r="D13" s="25"/>
      <x:c r="E13" s="25"/>
      <x:c r="F13" s="25"/>
      <x:c r="G13" s="25"/>
    </x:row>
    <x:row r="14" ht="31" customHeight="1">
      <x:c r="A14" s="11" t="str">
        <x:v>Concepto</x:v>
      </x:c>
      <x:c r="B14" s="11" t="str">
        <x:v>Alcance / condición</x:v>
      </x:c>
      <x:c r="C14" s="11" t="str">
        <x:v>Cantidad</x:v>
      </x:c>
      <x:c r="D14" s="11" t="str">
        <x:v>Valor unitario CLP</x:v>
      </x:c>
      <x:c r="E14" s="11" t="str">
        <x:v>Subtotal CLP</x:v>
      </x:c>
      <x:c r="F14" s="11" t="str">
        <x:v>Estado</x:v>
      </x:c>
      <x:c r="G14" s="11" t="str">
        <x:v>Observación</x:v>
      </x:c>
    </x:row>
    <x:row r="15" ht="21" customHeight="1">
      <x:c r="A15" s="13" t="str">
        <x:v>Licencias o herramientas de diseño</x:v>
      </x:c>
      <x:c r="B15" s="13" t="str">
        <x:v>Solo si se requiere contratar una licencia adicional</x:v>
      </x:c>
      <x:c r="C15" s="30"/>
      <x:c r="D15" s="38"/>
      <x:c r="E15" s="36" t="str">
        <x:f>IF(OR(C15="",D15=""),"",C15*D15)</x:f>
      </x:c>
      <x:c r="F15" s="13" t="str">
        <x:f>IF(OR(C15="",D15=""),"PENDIENTE / NO APLICA","COTIZADO")</x:f>
        <x:v>PENDIENTE / NO APLICA</x:v>
      </x:c>
      <x:c r="G15" s="13" t="str">
        <x:v>Registrar solo gasto confirmado</x:v>
      </x:c>
    </x:row>
    <x:row r="16" ht="21" customHeight="1">
      <x:c r="A16" s="13" t="str">
        <x:v>Uso de modelo / API generativa</x:v>
      </x:c>
      <x:c r="B16" s="13" t="str">
        <x:v>Solo si se realizan llamadas reales a un proveedor</x:v>
      </x:c>
      <x:c r="C16" s="30"/>
      <x:c r="D16" s="38"/>
      <x:c r="E16" s="36" t="str">
        <x:f>IF(OR(C16="",D16=""),"",C16*D16)</x:f>
      </x:c>
      <x:c r="F16" s="13" t="str">
        <x:f>IF(OR(C16="",D16=""),"PENDIENTE / NO APLICA","COTIZADO")</x:f>
        <x:v>PENDIENTE / NO APLICA</x:v>
      </x:c>
      <x:c r="G16" s="13" t="str">
        <x:v>Registrar solo gasto confirmado</x:v>
      </x:c>
    </x:row>
    <x:row r="17" ht="21" customHeight="1">
      <x:c r="A17" s="13" t="str">
        <x:v>Validación con participantes</x:v>
      </x:c>
      <x:c r="B17" s="13" t="str">
        <x:v>Solo si se aprueban incentivos o gastos de prueba</x:v>
      </x:c>
      <x:c r="C17" s="30"/>
      <x:c r="D17" s="38"/>
      <x:c r="E17" s="36" t="str">
        <x:f>IF(OR(C17="",D17=""),"",C17*D17)</x:f>
      </x:c>
      <x:c r="F17" s="13" t="str">
        <x:f>IF(OR(C17="",D17=""),"PENDIENTE / NO APLICA","COTIZADO")</x:f>
        <x:v>PENDIENTE / NO APLICA</x:v>
      </x:c>
      <x:c r="G17" s="13" t="str">
        <x:v>Registrar solo gasto confirmado</x:v>
      </x:c>
    </x:row>
    <x:row r="18" ht="21" customHeight="1">
      <x:c r="A18" s="13" t="str">
        <x:v>Producción de video conceptual</x:v>
      </x:c>
      <x:c r="B18" s="13" t="str">
        <x:v>Solo si existe un servicio o herramienta pagada</x:v>
      </x:c>
      <x:c r="C18" s="30"/>
      <x:c r="D18" s="38"/>
      <x:c r="E18" s="36" t="str">
        <x:f>IF(OR(C18="",D18=""),"",C18*D18)</x:f>
      </x:c>
      <x:c r="F18" s="13" t="str">
        <x:f>IF(OR(C18="",D18=""),"PENDIENTE / NO APLICA","COTIZADO")</x:f>
        <x:v>PENDIENTE / NO APLICA</x:v>
      </x:c>
      <x:c r="G18" s="13" t="str">
        <x:v>Registrar solo gasto confirmado</x:v>
      </x:c>
    </x:row>
    <x:row r="19" ht="21" customHeight="1">
      <x:c r="A19" s="13" t="str">
        <x:v>Infraestructura / publicación</x:v>
      </x:c>
      <x:c r="B19" s="13" t="str">
        <x:v>Solo si se decide publicar una implementación real</x:v>
      </x:c>
      <x:c r="C19" s="30"/>
      <x:c r="D19" s="38"/>
      <x:c r="E19" s="36" t="str">
        <x:f>IF(OR(C19="",D19=""),"",C19*D19)</x:f>
      </x:c>
      <x:c r="F19" s="13" t="str">
        <x:f>IF(OR(C19="",D19=""),"PENDIENTE / NO APLICA","COTIZADO")</x:f>
        <x:v>PENDIENTE / NO APLICA</x:v>
      </x:c>
      <x:c r="G19" s="13" t="str">
        <x:v>Registrar solo gasto confirmado</x:v>
      </x:c>
    </x:row>
    <x:row r="20" ht="23" customHeight="1">
      <x:c r="A20" s="29" t="str">
        <x:v>SUBTOTAL GASTOS DIRECTOS CONFIRMADOS</x:v>
      </x:c>
      <x:c r="B20" s="29"/>
      <x:c r="C20" s="29"/>
      <x:c r="D20" s="37"/>
      <x:c r="E20" s="37" t="n">
        <x:f>SUM(E15:E19)</x:f>
        <x:v>0</x:v>
      </x:c>
      <x:c r="F20" s="29"/>
      <x:c r="G20" s="29"/>
    </x:row>
    <x:row r="23" ht="22" customHeight="1">
      <x:c r="A23" s="25" t="str">
        <x:v>3. RESUMEN ECONÓMICO Y CONTINGENCIA OPCIONAL</x:v>
      </x:c>
      <x:c r="B23" s="25"/>
      <x:c r="C23" s="25"/>
      <x:c r="D23" s="25"/>
      <x:c r="E23" s="25"/>
      <x:c r="F23" s="25"/>
      <x:c r="G23" s="25"/>
    </x:row>
    <x:row r="24">
      <x:c r="A24" t="str">
        <x:v>Horas totales del equipo</x:v>
      </x:c>
      <x:c r="E24" t="n">
        <x:f>C10</x:f>
        <x:v>289</x:v>
      </x:c>
    </x:row>
    <x:row r="25">
      <x:c r="A25" t="str">
        <x:v>Subtotal honorarios</x:v>
      </x:c>
      <x:c r="E25" s="39" t="str">
        <x:f>IF(E10="","",E10)</x:f>
      </x:c>
    </x:row>
    <x:row r="26">
      <x:c r="A26" t="str">
        <x:v>Subtotal gastos directos confirmados</x:v>
      </x:c>
      <x:c r="E26" s="39" t="n">
        <x:f>E20</x:f>
        <x:v>0</x:v>
      </x:c>
    </x:row>
    <x:row r="27">
      <x:c r="A27" t="str">
        <x:v>Contingencia opcional (%)</x:v>
      </x:c>
      <x:c r="E27" s="33"/>
    </x:row>
    <x:row r="28">
      <x:c r="A28" t="str">
        <x:v>Monto contingencia</x:v>
      </x:c>
      <x:c r="E28" s="39" t="str">
        <x:f>IF(OR(E25="",E27=""),"",(E25+E26)*E27)</x:f>
      </x:c>
    </x:row>
    <x:row r="29" ht="26" customHeight="1">
      <x:c r="A29" s="34" t="str">
        <x:v>TOTAL PROYECTO</x:v>
      </x:c>
      <x:c r="B29" s="34"/>
      <x:c r="C29" s="34"/>
      <x:c r="D29" s="34"/>
      <x:c r="E29" s="40" t="str">
        <x:f>IF(E25="","",E25+E26+IF(E28="",0,E28))</x:f>
      </x:c>
      <x:c r="F29" s="34"/>
      <x:c r="G29" s="34"/>
    </x:row>
  </x:sheetData>
  <x:mergeCells>
    <x:mergeCell ref="A1:G2"/>
    <x:mergeCell ref="A3:G3"/>
    <x:mergeCell ref="A5:G5"/>
    <x:mergeCell ref="A10:B10"/>
    <x:mergeCell ref="A13:G13"/>
    <x:mergeCell ref="A20:D20"/>
    <x:mergeCell ref="A23:G23"/>
    <x:mergeCell ref="A24:D24"/>
    <x:mergeCell ref="A25:D25"/>
    <x:mergeCell ref="A26:D26"/>
    <x:mergeCell ref="A27:D27"/>
    <x:mergeCell ref="A28:D28"/>
    <x:mergeCell ref="A29:D2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23" hidden="0" customWidth="1"/>
    <x:col min="3" max="3" width="17" hidden="0" customWidth="1"/>
    <x:col min="4" max="4" width="17" hidden="0" customWidth="1"/>
    <x:col min="5" max="5" width="17" hidden="0" customWidth="1"/>
    <x:col min="6" max="6" width="68" hidden="0" customWidth="1"/>
  </x:cols>
  <x:sheetData>
    <x:row r="1" ht="25" customHeight="1">
      <x:c r="A1" s="2" t="str">
        <x:v>SOBREMESA  |  RESUMEN DE EJECUCIÓN</x:v>
      </x:c>
      <x:c r="B1" s="2"/>
      <x:c r="C1" s="2"/>
      <x:c r="D1" s="2"/>
      <x:c r="E1" s="2"/>
      <x:c r="F1" s="2"/>
    </x:row>
    <x:row r="2" ht="25" customHeight="1">
      <x:c r="A2" s="2"/>
      <x:c r="B2" s="2"/>
      <x:c r="C2" s="2"/>
      <x:c r="D2" s="2"/>
      <x:c r="E2" s="2"/>
      <x:c r="F2" s="2"/>
    </x:row>
    <x:row r="3" ht="23" customHeight="1">
      <x:c r="A3" s="4" t="str">
        <x:v>Planificación académica de tres semanas · supuestos explícitos y alcance verificable</x:v>
      </x:c>
      <x:c r="B3" s="4"/>
      <x:c r="C3" s="4"/>
      <x:c r="D3" s="4"/>
      <x:c r="E3" s="4"/>
      <x:c r="F3" s="4"/>
    </x:row>
    <x:row r="5" ht="22" customHeight="1">
      <x:c r="A5" s="25" t="str">
        <x:v>RESUMEN DE PLANIFICACIÓN</x:v>
      </x:c>
      <x:c r="B5" s="25"/>
      <x:c r="C5" s="25"/>
      <x:c r="D5" s="25"/>
      <x:c r="E5" s="25"/>
      <x:c r="F5" s="25"/>
    </x:row>
    <x:row r="7" ht="25" customHeight="1">
      <x:c r="A7" s="29" t="str">
        <x:v>Duración</x:v>
      </x:c>
      <x:c r="B7" s="29"/>
      <x:c r="C7" s="41" t="str">
        <x:v>3 semanas / 15 días hábiles</x:v>
      </x:c>
      <x:c r="D7" s="41"/>
      <x:c r="E7" s="41"/>
      <x:c r="F7" s="41"/>
    </x:row>
    <x:row r="8" ht="25" customHeight="1">
      <x:c r="A8" s="43" t="str">
        <x:v>Equipo</x:v>
      </x:c>
      <x:c r="B8" s="43"/>
      <x:c r="C8" s="45" t="str">
        <x:v>3 diseñadoras gráficas profesionales</x:v>
      </x:c>
      <x:c r="D8" s="45"/>
      <x:c r="E8" s="45"/>
      <x:c r="F8" s="45"/>
    </x:row>
    <x:row r="9" ht="25" customHeight="1">
      <x:c r="A9" s="29" t="str">
        <x:v>Alcance viable</x:v>
      </x:c>
      <x:c r="B9" s="29"/>
      <x:c r="C9" s="41" t="str">
        <x:v>Investigación, estrategia, diseño UX/UI, prototipo y validación inicial</x:v>
      </x:c>
      <x:c r="D9" s="41"/>
      <x:c r="E9" s="41"/>
      <x:c r="F9" s="41"/>
    </x:row>
    <x:row r="10" ht="25" customHeight="1">
      <x:c r="A10" s="43" t="str">
        <x:v>No incluido como hecho</x:v>
      </x:c>
      <x:c r="B10" s="43"/>
      <x:c r="C10" s="45" t="str">
        <x:v>Aplicación productiva, desarrollo backend, despliegue y tarifas no informadas</x:v>
      </x:c>
      <x:c r="D10" s="45"/>
      <x:c r="E10" s="45"/>
      <x:c r="F10" s="45"/>
    </x:row>
    <x:row r="11" ht="25" customHeight="1">
      <x:c r="A11" s="29" t="str">
        <x:v>Fecha de inicio</x:v>
      </x:c>
      <x:c r="B11" s="29"/>
      <x:c r="C11" s="41" t="str">
        <x:v>No proporcionada: la planificación usa días relativos D1–D15</x:v>
      </x:c>
      <x:c r="D11" s="41"/>
      <x:c r="E11" s="41"/>
      <x:c r="F11" s="41"/>
    </x:row>
    <x:row r="12" ht="25" customHeight="1">
      <x:c r="A12" s="43" t="str">
        <x:v>Fuente de horas</x:v>
      </x:c>
      <x:c r="B12" s="43"/>
      <x:c r="C12" s="45" t="str">
        <x:v>Estimaciones de planificación por actividad; no son horas ejecutadas</x:v>
      </x:c>
      <x:c r="D12" s="45"/>
      <x:c r="E12" s="45"/>
      <x:c r="F12" s="45"/>
    </x:row>
    <x:row r="15" ht="22" customHeight="1">
      <x:c r="A15" s="25" t="str">
        <x:v>CARGA ESTIMADA DEL EQUIPO</x:v>
      </x:c>
      <x:c r="B15" s="25"/>
      <x:c r="C15" s="25"/>
      <x:c r="D15" s="25"/>
      <x:c r="E15" s="25"/>
      <x:c r="F15" s="25"/>
    </x:row>
    <x:row r="16" ht="31" customHeight="1">
      <x:c r="A16" s="11" t="str">
        <x:v>Profesional</x:v>
      </x:c>
      <x:c r="B16" s="11" t="str">
        <x:v>Horas estimadas</x:v>
      </x:c>
      <x:c r="C16" s="11" t="str">
        <x:v>Semana 1</x:v>
      </x:c>
      <x:c r="D16" s="11" t="str">
        <x:v>Semana 2</x:v>
      </x:c>
      <x:c r="E16" s="11" t="str">
        <x:v>Semana 3</x:v>
      </x:c>
      <x:c r="F16" s="11" t="str">
        <x:v>Observación</x:v>
      </x:c>
    </x:row>
    <x:row r="17" ht="21" customHeight="1">
      <x:c r="A17" s="13" t="str">
        <x:v>Diseñadora 1</x:v>
      </x:c>
      <x:c r="B17" s="13" t="n">
        <x:f>'Carta Gantt'!H31</x:f>
        <x:v>91</x:v>
      </x:c>
      <x:c r="C17" s="13" t="n">
        <x:f>SUMIFS('Carta Gantt'!H7:H30,'Carta Gantt'!$D$7:$D$30,"&lt;=5",'Carta Gantt'!$E$7:$E$30,"&gt;=1")</x:f>
        <x:v>38</x:v>
      </x:c>
      <x:c r="D17" s="13" t="n">
        <x:f>SUMIFS('Carta Gantt'!H7:H30,'Carta Gantt'!$D$7:$D$30,"&lt;=10",'Carta Gantt'!$E$7:$E$30,"&gt;=6")</x:f>
        <x:v>35</x:v>
      </x:c>
      <x:c r="E17" s="13" t="n">
        <x:f>SUMIFS('Carta Gantt'!H7:H30,'Carta Gantt'!$D$7:$D$30,"&lt;=15",'Carta Gantt'!$E$7:$E$30,"&gt;=11")</x:f>
        <x:v>37</x:v>
      </x:c>
      <x:c r="F17" s="13" t="str">
        <x:v>Horas por tarea que coincide con cada semana; pueden repetirse entre semanas</x:v>
      </x:c>
    </x:row>
    <x:row r="18" ht="21" customHeight="1">
      <x:c r="A18" s="13" t="str">
        <x:v>Diseñadora 2</x:v>
      </x:c>
      <x:c r="B18" s="13" t="n">
        <x:f>'Carta Gantt'!I31</x:f>
        <x:v>101</x:v>
      </x:c>
      <x:c r="C18" s="13" t="n">
        <x:f>SUMIFS('Carta Gantt'!I7:I30,'Carta Gantt'!$D$7:$D$30,"&lt;=5",'Carta Gantt'!$E$7:$E$30,"&gt;=1")</x:f>
        <x:v>35</x:v>
      </x:c>
      <x:c r="D18" s="13" t="n">
        <x:f>SUMIFS('Carta Gantt'!I7:I30,'Carta Gantt'!$D$7:$D$30,"&lt;=10",'Carta Gantt'!$E$7:$E$30,"&gt;=6")</x:f>
        <x:v>47</x:v>
      </x:c>
      <x:c r="E18" s="13" t="n">
        <x:f>SUMIFS('Carta Gantt'!I7:I30,'Carta Gantt'!$D$7:$D$30,"&lt;=15",'Carta Gantt'!$E$7:$E$30,"&gt;=11")</x:f>
        <x:v>42</x:v>
      </x:c>
      <x:c r="F18" s="13" t="str">
        <x:v>Horas por tarea que coincide con cada semana; pueden repetirse entre semanas</x:v>
      </x:c>
    </x:row>
    <x:row r="19" ht="21" customHeight="1">
      <x:c r="A19" s="13" t="str">
        <x:v>Diseñadora 3</x:v>
      </x:c>
      <x:c r="B19" s="13" t="n">
        <x:f>'Carta Gantt'!J31</x:f>
        <x:v>97</x:v>
      </x:c>
      <x:c r="C19" s="13" t="n">
        <x:f>SUMIFS('Carta Gantt'!J7:J30,'Carta Gantt'!$D$7:$D$30,"&lt;=5",'Carta Gantt'!$E$7:$E$30,"&gt;=1")</x:f>
        <x:v>36</x:v>
      </x:c>
      <x:c r="D19" s="13" t="n">
        <x:f>SUMIFS('Carta Gantt'!J7:J30,'Carta Gantt'!$D$7:$D$30,"&lt;=10",'Carta Gantt'!$E$7:$E$30,"&gt;=6")</x:f>
        <x:v>46</x:v>
      </x:c>
      <x:c r="E19" s="13" t="n">
        <x:f>SUMIFS('Carta Gantt'!J7:J30,'Carta Gantt'!$D$7:$D$30,"&lt;=15",'Carta Gantt'!$E$7:$E$30,"&gt;=11")</x:f>
        <x:v>37</x:v>
      </x:c>
      <x:c r="F19" s="13" t="str">
        <x:v>Horas por tarea que coincide con cada semana; pueden repetirse entre semanas</x:v>
      </x:c>
    </x:row>
    <x:row r="21" ht="23" customHeight="1">
      <x:c r="A21" s="48" t="str">
        <x:v>Aviso: la distribución semanal muestra horas de tareas que se superponen con cada semana, por lo que no debe sumarse como si fueran horas prorrateadas. La fuente oficial del total es la carta Gantt.</x:v>
      </x:c>
      <x:c r="B21" s="48"/>
      <x:c r="C21" s="48"/>
      <x:c r="D21" s="48"/>
      <x:c r="E21" s="48"/>
      <x:c r="F21" s="48"/>
    </x:row>
    <x:row r="22" ht="23" customHeight="1">
      <x:c r="A22" s="48"/>
      <x:c r="B22" s="48"/>
      <x:c r="C22" s="48"/>
      <x:c r="D22" s="48"/>
      <x:c r="E22" s="48"/>
      <x:c r="F22" s="48"/>
    </x:row>
  </x:sheetData>
  <x:mergeCells>
    <x:mergeCell ref="A1:F2"/>
    <x:mergeCell ref="A3:F3"/>
    <x:mergeCell ref="A5:F5"/>
    <x:mergeCell ref="A7:B7"/>
    <x:mergeCell ref="C7:F7"/>
    <x:mergeCell ref="A8:B8"/>
    <x:mergeCell ref="C8:F8"/>
    <x:mergeCell ref="A9:B9"/>
    <x:mergeCell ref="C9:F9"/>
    <x:mergeCell ref="A10:B10"/>
    <x:mergeCell ref="C10:F10"/>
    <x:mergeCell ref="A11:B11"/>
    <x:mergeCell ref="C11:F11"/>
    <x:mergeCell ref="A12:B12"/>
    <x:mergeCell ref="C12:F12"/>
    <x:mergeCell ref="A15:F15"/>
    <x:mergeCell ref="A21:F22"/>
  </x:mergeCells>
  <x:pageMargins left="0.7" right="0.7" top="0.75" bottom="0.75" header="0.3" footer="0.3"/>
</x:worksheet>
</file>